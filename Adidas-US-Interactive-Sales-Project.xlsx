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ink/ink1.xml" ContentType="application/inkml+xml"/>
  <Override PartName="/xl/ink/ink2.xml" ContentType="application/inkml+xml"/>
  <Override PartName="/xl/ink/ink3.xml" ContentType="application/inkml+xml"/>
  <Override PartName="/xl/ink/ink4.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is\New folder\Project-20260903T180856Z-1-001\Project\"/>
    </mc:Choice>
  </mc:AlternateContent>
  <xr:revisionPtr revIDLastSave="0" documentId="13_ncr:1_{1C4DDBBA-958F-4358-9ABB-FD2098813013}" xr6:coauthVersionLast="47" xr6:coauthVersionMax="47" xr10:uidLastSave="{00000000-0000-0000-0000-000000000000}"/>
  <bookViews>
    <workbookView xWindow="-108" yWindow="-108" windowWidth="23256" windowHeight="12456" activeTab="1" xr2:uid="{990294BF-121D-473C-BDCE-B150B17CF30C}"/>
  </bookViews>
  <sheets>
    <sheet name="Adidas-US-Interactive-Sales-Pro" sheetId="1" r:id="rId1"/>
    <sheet name="Pivot Tables" sheetId="2" r:id="rId2"/>
    <sheet name="Dashboard" sheetId="3" r:id="rId3"/>
  </sheets>
  <definedNames>
    <definedName name="_xlnm._FilterDatabase" localSheetId="0" hidden="1">'Adidas-US-Interactive-Sales-Pro'!$A$1:$P$1</definedName>
    <definedName name="_xlchart.v5.0" hidden="1">'Pivot Tables'!$S$12</definedName>
    <definedName name="_xlchart.v5.1" hidden="1">'Pivot Tables'!$S$13:$S$17</definedName>
    <definedName name="_xlchart.v5.2" hidden="1">'Pivot Tables'!$T$12</definedName>
    <definedName name="_xlchart.v5.3" hidden="1">'Pivot Tables'!$T$13:$T$17</definedName>
    <definedName name="_xlchart.v5.4" hidden="1">'Pivot Tables'!$S$12</definedName>
    <definedName name="_xlchart.v5.5" hidden="1">'Pivot Tables'!$S$13:$S$17</definedName>
    <definedName name="_xlchart.v5.6" hidden="1">'Pivot Tables'!$T$12</definedName>
    <definedName name="_xlchart.v5.7" hidden="1">'Pivot Tables'!$T$13:$T$17</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 i="3" l="1"/>
  <c r="E6" i="3"/>
  <c r="L21" i="2"/>
  <c r="Q6" i="3" s="1"/>
  <c r="L20"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alcChain>
</file>

<file path=xl/sharedStrings.xml><?xml version="1.0" encoding="utf-8"?>
<sst xmlns="http://schemas.openxmlformats.org/spreadsheetml/2006/main" count="8514" uniqueCount="1258">
  <si>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</si>
  <si>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</si>
  <si>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</si>
  <si>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</si>
  <si>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</si>
  <si>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</si>
  <si>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</si>
  <si>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</si>
  <si>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</si>
  <si>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</si>
  <si>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</si>
  <si>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</si>
  <si>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</si>
  <si>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</si>
  <si>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</si>
  <si>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</si>
  <si>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</si>
  <si>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</si>
  <si>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</si>
  <si>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</si>
  <si>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</si>
  <si>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</si>
  <si>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</si>
  <si>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</si>
  <si>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</si>
  <si>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</si>
  <si>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</si>
  <si>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</si>
  <si>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</si>
  <si>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</si>
  <si>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</si>
  <si>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</si>
  <si>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</si>
  <si>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</si>
  <si>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</si>
  <si>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</si>
  <si>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</si>
  <si>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</si>
  <si>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</si>
  <si>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</si>
  <si>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</si>
  <si>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</si>
  <si>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</si>
  <si>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</si>
  <si>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</si>
  <si>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</si>
  <si>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</si>
  <si>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</si>
  <si>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</si>
  <si>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</si>
  <si>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</si>
  <si>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</si>
  <si>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</si>
  <si>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</si>
  <si>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</si>
  <si>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</si>
  <si>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</si>
  <si>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</si>
  <si>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</si>
  <si>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</si>
  <si>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</si>
  <si>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</si>
  <si>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</si>
  <si>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</si>
  <si>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</si>
  <si>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</si>
  <si>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</si>
  <si>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</si>
  <si>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</si>
  <si>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</si>
  <si>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</si>
  <si>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</si>
  <si>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</si>
  <si>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</si>
  <si>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</si>
  <si>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</si>
  <si>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</si>
  <si>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</si>
  <si>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</si>
  <si>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</si>
  <si>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</si>
  <si>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</si>
  <si>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</si>
  <si>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</si>
  <si>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</si>
  <si>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</si>
  <si>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</si>
  <si>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</si>
  <si>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</si>
  <si>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</si>
  <si>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</si>
  <si>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</si>
  <si>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</si>
  <si>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</si>
  <si>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</si>
  <si>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</si>
  <si>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</si>
  <si>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</si>
  <si>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</si>
  <si>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</si>
  <si>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</si>
  <si>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</si>
  <si>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</si>
  <si>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</si>
  <si>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</si>
  <si>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</si>
  <si>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</si>
  <si>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</si>
  <si>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</si>
  <si>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</si>
  <si>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</si>
  <si>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</si>
  <si>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</si>
  <si>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</si>
  <si>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</si>
  <si>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</si>
  <si>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</si>
  <si>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</si>
  <si>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</si>
  <si>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</si>
  <si>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</si>
  <si>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</si>
  <si>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</si>
  <si>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</si>
  <si>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</si>
  <si>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</si>
  <si>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</si>
  <si>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</si>
  <si>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</si>
  <si>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</si>
  <si>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</si>
  <si>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</si>
  <si>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</si>
  <si>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</si>
  <si>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</si>
  <si>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</si>
  <si>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</si>
  <si>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</si>
  <si>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</si>
  <si>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</si>
  <si>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</si>
  <si>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</si>
  <si>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</si>
  <si>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</si>
  <si>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</si>
  <si>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</si>
  <si>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</si>
  <si>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</si>
  <si>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</si>
  <si>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</si>
  <si>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</si>
  <si>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</si>
  <si>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</si>
  <si>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</si>
  <si>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</si>
  <si>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</si>
  <si>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</si>
  <si>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</si>
  <si>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</si>
  <si>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</si>
  <si>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</si>
  <si>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</si>
  <si>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</si>
  <si>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</si>
  <si>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</si>
  <si>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</si>
  <si>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</si>
  <si>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</si>
  <si>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</si>
  <si>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</si>
  <si>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</si>
  <si>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</si>
  <si>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</si>
  <si>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</si>
  <si>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</si>
  <si>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</si>
  <si>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</si>
  <si>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</si>
  <si>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</si>
  <si>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</si>
  <si>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</si>
  <si>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</si>
  <si>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</si>
  <si>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</si>
  <si>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</si>
  <si>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</si>
  <si>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</si>
  <si>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</si>
  <si>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</si>
  <si>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</si>
  <si>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</si>
  <si>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</si>
  <si>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</si>
  <si>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</si>
  <si>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</si>
  <si>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</si>
  <si>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</si>
  <si>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</si>
  <si>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</si>
  <si>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</si>
  <si>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</si>
  <si>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</si>
  <si>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</si>
  <si>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</si>
  <si>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</si>
  <si>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</si>
  <si>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</si>
  <si>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</si>
  <si>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</si>
  <si>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</si>
  <si>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</si>
  <si>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</si>
  <si>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</si>
  <si>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</si>
  <si>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</si>
  <si>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</si>
  <si>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</si>
  <si>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</si>
  <si>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</si>
  <si>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</si>
  <si>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</si>
  <si>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</si>
  <si>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</si>
  <si>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</si>
  <si>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</si>
  <si>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</si>
  <si>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</si>
  <si>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</si>
  <si>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</si>
  <si>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</si>
  <si>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</si>
  <si>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</si>
  <si>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</si>
  <si>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</si>
  <si>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</si>
  <si>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</si>
  <si>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</si>
  <si>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</si>
  <si>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</si>
  <si>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</si>
  <si>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</si>
  <si>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</si>
  <si>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</si>
  <si>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</si>
  <si>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</si>
  <si>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</si>
  <si>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</si>
  <si>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</si>
  <si>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</si>
  <si>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</si>
  <si>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</si>
  <si>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</si>
  <si>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</si>
  <si>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</si>
  <si>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</si>
  <si>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</si>
  <si>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</si>
  <si>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</si>
  <si>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</si>
  <si>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</si>
  <si>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</si>
  <si>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</si>
  <si>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</si>
  <si>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</si>
  <si>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</si>
  <si>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</si>
  <si>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</si>
  <si>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</si>
  <si>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</si>
  <si>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</si>
  <si>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</si>
  <si>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</si>
  <si>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</si>
  <si>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</si>
  <si>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</si>
  <si>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</si>
  <si>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</si>
  <si>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</si>
  <si>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</si>
  <si>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</si>
  <si>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</si>
  <si>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</si>
  <si>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</si>
  <si>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</si>
  <si>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</si>
  <si>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</si>
  <si>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</si>
  <si>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</si>
  <si>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</si>
  <si>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</si>
  <si>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</si>
  <si>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</si>
  <si>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</si>
  <si>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</si>
  <si>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</si>
  <si>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</si>
  <si>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</si>
  <si>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</si>
  <si>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</si>
  <si>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</si>
  <si>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</si>
  <si>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</si>
  <si>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</si>
  <si>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</si>
  <si>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</si>
  <si>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</si>
  <si>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</si>
  <si>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</si>
  <si>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</si>
  <si>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</si>
  <si>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</si>
  <si>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</si>
  <si>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</si>
  <si>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</si>
  <si>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</si>
  <si>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</si>
  <si>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</si>
  <si>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</si>
  <si>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</si>
  <si>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</si>
  <si>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</si>
  <si>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</si>
  <si>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</si>
  <si>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</si>
  <si>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</si>
  <si>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</si>
  <si>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</si>
  <si>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</si>
  <si>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</si>
  <si>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</si>
  <si>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</si>
  <si>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</si>
  <si>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</si>
  <si>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</si>
  <si>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</si>
  <si>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</si>
  <si>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</si>
  <si>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</si>
  <si>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</si>
  <si>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</si>
  <si>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</si>
  <si>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</si>
  <si>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</si>
  <si>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</si>
  <si>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</si>
  <si>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</si>
  <si>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</si>
  <si>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</si>
  <si>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</si>
  <si>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</si>
  <si>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</si>
  <si>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</si>
  <si>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</si>
  <si>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</si>
  <si>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</si>
  <si>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</si>
  <si>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</si>
  <si>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</si>
  <si>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</si>
  <si>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</si>
  <si>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</si>
  <si>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</si>
  <si>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</si>
  <si>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</si>
  <si>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</si>
  <si>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</si>
  <si>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</si>
  <si>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</si>
  <si>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</si>
  <si>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</si>
  <si>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</si>
  <si>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</si>
  <si>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</si>
  <si>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</si>
  <si>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</si>
  <si>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</si>
  <si>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</si>
  <si>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</si>
  <si>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</si>
  <si>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</si>
  <si>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</si>
  <si>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</si>
  <si>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</si>
  <si>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</si>
  <si>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</si>
  <si>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</si>
  <si>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</si>
  <si>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</si>
  <si>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</si>
  <si>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</si>
  <si>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</si>
  <si>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</si>
  <si>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</si>
  <si>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</si>
  <si>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</si>
  <si>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</si>
  <si>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</si>
  <si>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</si>
  <si>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</si>
  <si>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</si>
  <si>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</si>
  <si>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</si>
  <si>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</si>
  <si>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</si>
  <si>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</si>
  <si>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</si>
  <si>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</si>
  <si>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</si>
  <si>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</si>
  <si>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</si>
  <si>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</si>
  <si>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</si>
  <si>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</si>
  <si>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</si>
  <si>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</si>
  <si>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</si>
  <si>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</si>
  <si>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</si>
  <si>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</si>
  <si>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</si>
  <si>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</si>
  <si>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</si>
  <si>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</si>
  <si>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</si>
  <si>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</si>
  <si>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</si>
  <si>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</si>
  <si>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</si>
  <si>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</si>
  <si>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</si>
  <si>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</si>
  <si>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</si>
  <si>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</si>
  <si>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</si>
  <si>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</si>
  <si>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</si>
  <si>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</si>
  <si>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</si>
  <si>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</si>
  <si>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</si>
  <si>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</si>
  <si>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</si>
  <si>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</si>
  <si>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</si>
  <si>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</si>
  <si>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</si>
  <si>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</si>
  <si>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</si>
  <si>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</si>
  <si>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</si>
  <si>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</si>
  <si>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</si>
  <si>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</si>
  <si>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</si>
  <si>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</si>
  <si>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</si>
  <si>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</si>
  <si>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</si>
  <si>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</si>
  <si>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</si>
  <si>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</si>
  <si>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</si>
  <si>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</si>
  <si>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</si>
  <si>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</si>
  <si>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</si>
  <si>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</si>
  <si>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</si>
  <si>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</si>
  <si>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</si>
  <si>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</si>
  <si>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</si>
  <si>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</si>
  <si>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</si>
  <si>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</si>
  <si>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</si>
  <si>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</si>
  <si>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</si>
  <si>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</si>
  <si>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</si>
  <si>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</si>
  <si>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</si>
  <si>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</si>
  <si>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</si>
  <si>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</si>
  <si>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</si>
  <si>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</si>
  <si>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</si>
  <si>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</si>
  <si>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</si>
  <si>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</si>
  <si>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</si>
  <si>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</si>
  <si>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</si>
  <si>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</si>
  <si>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</si>
  <si>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</si>
  <si>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</si>
  <si>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</si>
  <si>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</si>
  <si>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</si>
  <si>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</si>
  <si>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</si>
  <si>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</si>
  <si>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</si>
  <si>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</si>
  <si>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</si>
  <si>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</si>
  <si>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</si>
  <si>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</si>
  <si>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</si>
  <si>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</si>
  <si>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</si>
  <si>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</si>
  <si>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</si>
  <si>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</si>
  <si>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</si>
  <si>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</si>
  <si>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</si>
  <si>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</si>
  <si>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</si>
  <si>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</si>
  <si>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</si>
  <si>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</si>
  <si>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</si>
  <si>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</si>
  <si>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</si>
  <si>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</si>
  <si>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</si>
  <si>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</si>
  <si>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</si>
  <si>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</si>
  <si>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</si>
  <si>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</si>
  <si>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</si>
  <si>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</si>
  <si>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</si>
  <si>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</si>
  <si>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</si>
  <si>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</si>
  <si>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</si>
  <si>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</si>
  <si>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</si>
  <si>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</si>
  <si>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</si>
  <si>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</si>
  <si>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</si>
  <si>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</si>
  <si>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</si>
  <si>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</si>
  <si>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</si>
  <si>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</si>
  <si>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</si>
  <si>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</si>
  <si>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</si>
  <si>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</si>
  <si>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</si>
  <si>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</si>
  <si>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</si>
  <si>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</si>
  <si>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</si>
  <si>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</si>
  <si>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</si>
  <si>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</si>
  <si>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</si>
  <si>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</si>
  <si>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</si>
  <si>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</si>
  <si>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</si>
  <si>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</si>
  <si>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</si>
  <si>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</si>
  <si>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</si>
  <si>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</si>
  <si>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</si>
  <si>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</si>
  <si>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</si>
  <si>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</si>
  <si>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</si>
  <si>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</si>
  <si>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</si>
  <si>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</si>
  <si>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</si>
  <si>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</si>
  <si>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</si>
  <si>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</si>
  <si>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</si>
  <si>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</si>
  <si>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</si>
  <si>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</si>
  <si>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</si>
  <si>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</si>
  <si>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</si>
  <si>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</si>
  <si>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</si>
  <si>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</si>
  <si>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</si>
  <si>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</si>
  <si>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</si>
  <si>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</si>
  <si>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</si>
  <si>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</si>
  <si>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</si>
  <si>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</si>
  <si>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</si>
  <si>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</si>
  <si>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</si>
  <si>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</si>
  <si>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</si>
  <si>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</si>
  <si>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</si>
  <si>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</si>
  <si>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</si>
  <si>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</si>
  <si>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</si>
  <si>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</si>
  <si>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</si>
  <si>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</si>
  <si>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</si>
  <si>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</si>
  <si>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</si>
  <si>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</si>
  <si>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</si>
  <si>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</si>
  <si>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</si>
  <si>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</si>
  <si>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</si>
  <si>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</si>
  <si>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</si>
  <si>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</si>
  <si>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</si>
  <si>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</si>
  <si>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</si>
  <si>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</si>
  <si>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</si>
  <si>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</si>
  <si>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</si>
  <si>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</si>
  <si>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</si>
  <si>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</si>
  <si>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</si>
  <si>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</si>
  <si>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</si>
  <si>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</si>
  <si>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</si>
  <si>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</si>
  <si>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</si>
  <si>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</si>
  <si>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</si>
  <si>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</si>
  <si>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</si>
  <si>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</si>
  <si>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</si>
  <si>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</si>
  <si>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</si>
  <si>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</si>
  <si>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</si>
  <si>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</si>
  <si>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</si>
  <si>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</si>
  <si>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</si>
  <si>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</si>
  <si>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</si>
  <si>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</si>
  <si>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</si>
  <si>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</si>
  <si>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</si>
  <si>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</si>
  <si>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</si>
  <si>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</si>
  <si>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</si>
  <si>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</si>
  <si>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</si>
  <si>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</si>
  <si>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</si>
  <si>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</si>
  <si>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</si>
  <si>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</si>
  <si>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</si>
  <si>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</si>
  <si>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</si>
  <si>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</si>
  <si>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</si>
  <si>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</si>
  <si>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</si>
  <si>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</si>
  <si>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</si>
  <si>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</si>
  <si>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</si>
  <si>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</si>
  <si>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</si>
  <si>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</si>
  <si>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</si>
  <si>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</si>
  <si>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</si>
  <si>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</si>
  <si>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</si>
  <si>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</si>
  <si>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</si>
  <si>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</si>
  <si>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</si>
  <si>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</si>
  <si>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</si>
  <si>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</si>
  <si>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</si>
  <si>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</si>
  <si>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</si>
  <si>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</si>
  <si>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</si>
  <si>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</si>
  <si>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</si>
  <si>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</si>
  <si>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</si>
  <si>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</si>
  <si>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</si>
  <si>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</si>
  <si>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</si>
  <si>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</si>
  <si>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</si>
  <si>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</si>
  <si>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</si>
  <si>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</si>
  <si>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</si>
  <si>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</si>
  <si>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</si>
  <si>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</si>
  <si>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</si>
  <si>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</si>
  <si>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</si>
  <si>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</si>
  <si>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</si>
  <si>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</si>
  <si>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</si>
  <si>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</si>
  <si>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</si>
  <si>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</si>
  <si>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</si>
  <si>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</si>
  <si>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</si>
  <si>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</si>
  <si>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</si>
  <si>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</si>
  <si>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</si>
  <si>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</si>
  <si>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</si>
  <si>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</si>
  <si>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</si>
  <si>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</si>
  <si>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</si>
  <si>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</si>
  <si>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</si>
  <si>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</si>
  <si>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</si>
  <si>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</si>
  <si>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</si>
  <si>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</si>
  <si>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</si>
  <si>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</si>
  <si>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</si>
  <si>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</si>
  <si>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</si>
  <si>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</si>
  <si>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</si>
  <si>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</si>
  <si>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</si>
  <si>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</si>
  <si>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</si>
  <si>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</si>
  <si>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</si>
  <si>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</si>
  <si>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</si>
  <si>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</si>
  <si>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</si>
  <si>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</si>
  <si>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</si>
  <si>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</si>
  <si>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</si>
  <si>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</si>
  <si>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</si>
  <si>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</si>
  <si>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</si>
  <si>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</si>
  <si>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</si>
  <si>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</si>
  <si>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</si>
  <si>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</si>
  <si>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</si>
  <si>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</si>
  <si>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</si>
  <si>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</si>
  <si>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</si>
  <si>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</si>
  <si>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</si>
  <si>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</si>
  <si>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</si>
  <si>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</si>
  <si>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</si>
  <si>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</si>
  <si>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</si>
  <si>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</si>
  <si>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</si>
  <si>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</si>
  <si>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</si>
  <si>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</si>
  <si>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</si>
  <si>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</si>
  <si>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</si>
  <si>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</si>
  <si>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</si>
  <si>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</si>
  <si>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</si>
  <si>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</si>
  <si>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</si>
  <si>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</si>
  <si>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</si>
  <si>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</si>
  <si>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</si>
  <si>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</si>
  <si>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</si>
  <si>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</si>
  <si>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</si>
  <si>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</si>
  <si>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</si>
  <si>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</si>
  <si>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</si>
  <si>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</si>
  <si>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</si>
  <si>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</si>
  <si>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</si>
  <si>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</si>
  <si>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</si>
  <si>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</si>
  <si>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</si>
  <si>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</si>
  <si>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</si>
  <si>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</si>
  <si>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</si>
  <si>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</si>
  <si>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</si>
  <si>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</si>
  <si>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</si>
  <si>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</si>
  <si>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</si>
  <si>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</si>
  <si>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</si>
  <si>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</si>
  <si>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</si>
  <si>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</si>
  <si>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</si>
  <si>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</si>
  <si>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</si>
  <si>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</si>
  <si>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</si>
  <si>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</si>
  <si>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</si>
  <si>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</si>
  <si>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</si>
  <si>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</si>
  <si>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</si>
  <si>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</si>
  <si>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</si>
  <si>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</si>
  <si>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</si>
  <si>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</si>
  <si>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</si>
  <si>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</si>
  <si>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</si>
  <si>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</si>
  <si>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</si>
  <si>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</si>
  <si>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</si>
  <si>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</si>
  <si>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</si>
  <si>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</si>
  <si>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</si>
  <si>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</si>
  <si>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</si>
  <si>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</si>
  <si>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</si>
  <si>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</si>
  <si>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</si>
  <si>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</si>
  <si>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</si>
  <si>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</si>
  <si>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</si>
  <si>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</si>
  <si>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</si>
  <si>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</si>
  <si>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</si>
  <si>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</si>
  <si>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</si>
  <si>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</si>
  <si>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</si>
  <si>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</si>
  <si>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</si>
  <si>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</si>
  <si>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</si>
  <si>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</si>
  <si>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</si>
  <si>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</si>
  <si>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</si>
  <si>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</si>
  <si>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</si>
  <si>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</si>
  <si>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</si>
  <si>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</si>
  <si>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</si>
  <si>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</si>
  <si>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</si>
  <si>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</si>
  <si>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</si>
  <si>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</si>
  <si>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</si>
  <si>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</si>
  <si>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</si>
  <si>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</si>
  <si>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</si>
  <si>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</si>
  <si>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</si>
  <si>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</si>
  <si>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</si>
  <si>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</si>
  <si>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</si>
  <si>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</si>
  <si>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</si>
  <si>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</si>
  <si>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</si>
  <si>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</si>
  <si>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</si>
  <si>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</si>
  <si>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</si>
  <si>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</si>
  <si>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</si>
  <si>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</si>
  <si>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</si>
  <si>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</si>
  <si>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</si>
  <si>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</si>
  <si>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</si>
  <si>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</si>
  <si>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</si>
  <si>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</si>
  <si>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</si>
  <si>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</si>
  <si>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</si>
  <si>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</si>
  <si>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</si>
  <si>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</si>
  <si>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</si>
  <si>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</si>
  <si>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</si>
  <si>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</si>
  <si>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</si>
  <si>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</si>
  <si>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</si>
  <si>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</si>
  <si>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</si>
  <si>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</si>
  <si>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</si>
  <si>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</si>
  <si>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</si>
  <si>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</si>
  <si>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</si>
  <si>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</si>
  <si>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</si>
  <si>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</si>
  <si>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</si>
  <si>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</si>
  <si>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</si>
  <si>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</si>
  <si>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</si>
  <si>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</si>
  <si>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</si>
  <si>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</si>
  <si>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</si>
  <si>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</si>
  <si>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</si>
  <si>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</si>
  <si>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</si>
  <si>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</si>
  <si>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</si>
  <si>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</si>
  <si>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</si>
  <si>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</si>
  <si>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</si>
  <si>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</si>
  <si>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</si>
  <si>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</si>
  <si>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</si>
  <si>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</si>
  <si>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</si>
  <si>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</si>
  <si>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</si>
  <si>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</si>
  <si>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</si>
  <si>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</si>
  <si>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</si>
  <si>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</si>
  <si>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</si>
  <si>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</si>
  <si>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</si>
  <si>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</si>
  <si>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</si>
  <si>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</si>
  <si>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</si>
  <si>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</si>
  <si>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</si>
  <si>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</si>
  <si>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</si>
  <si>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</si>
  <si>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</si>
  <si>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</si>
  <si>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</si>
  <si>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</si>
  <si>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</si>
  <si>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</si>
  <si>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</si>
  <si>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</si>
  <si>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</si>
  <si>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</si>
  <si>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</si>
  <si>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</si>
  <si>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</si>
  <si>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</si>
  <si>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</si>
  <si>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</si>
  <si>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</si>
  <si>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</si>
  <si>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</si>
  <si>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</si>
  <si>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</si>
  <si>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</si>
  <si>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</si>
  <si>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</si>
  <si>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</si>
  <si>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</si>
  <si>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</si>
  <si>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</si>
  <si>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</si>
  <si>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</si>
  <si>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</si>
  <si>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</si>
  <si>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</si>
  <si>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</si>
  <si>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</si>
  <si>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</si>
  <si>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</si>
  <si>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</si>
  <si>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</si>
  <si>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</si>
  <si>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</si>
  <si>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</si>
  <si>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</si>
  <si>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</si>
  <si>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</si>
  <si>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</si>
  <si>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</si>
  <si>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</si>
  <si>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</si>
  <si>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</si>
  <si>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</si>
  <si>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</si>
  <si>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</si>
  <si>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</si>
  <si>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</si>
  <si>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</si>
  <si>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</si>
  <si>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</si>
  <si>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</si>
  <si>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</si>
  <si>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</si>
  <si>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</si>
  <si>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</si>
  <si>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</si>
  <si>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</si>
  <si>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</si>
  <si>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</si>
  <si>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</si>
  <si>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</si>
  <si>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</si>
  <si>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</si>
  <si>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</si>
  <si>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</si>
  <si>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</si>
  <si>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</si>
  <si>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</si>
  <si>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</si>
  <si>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</si>
  <si>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</si>
  <si>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</si>
  <si>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</si>
  <si>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</si>
  <si>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</si>
  <si>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</si>
  <si>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</si>
  <si>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</si>
  <si>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</si>
  <si>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</si>
  <si>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</si>
  <si>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</si>
  <si>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</si>
  <si>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</si>
  <si>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</si>
  <si>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</si>
  <si>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</si>
  <si>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</si>
  <si>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</si>
  <si>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</si>
  <si>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</si>
  <si>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</si>
  <si>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</si>
  <si>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</si>
  <si>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</si>
  <si>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</si>
  <si>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</si>
  <si>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</si>
  <si>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</si>
  <si>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</si>
  <si>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</si>
  <si>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</si>
  <si>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</si>
  <si>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</si>
  <si>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</si>
  <si>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</si>
  <si>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</si>
  <si>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</si>
  <si>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</si>
  <si>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</si>
  <si>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</si>
  <si>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</si>
  <si>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</si>
  <si>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</si>
  <si>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</si>
  <si>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</si>
  <si>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</si>
  <si>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</si>
  <si>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</si>
  <si>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</si>
  <si>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</si>
  <si>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</si>
  <si>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</si>
  <si>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</si>
  <si>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</si>
  <si>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</si>
  <si>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</si>
  <si>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</si>
  <si>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</si>
  <si>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</si>
  <si>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</si>
  <si>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</si>
  <si>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</si>
  <si>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</si>
  <si>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</si>
  <si>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</si>
  <si>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</si>
  <si>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</si>
  <si>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</si>
  <si>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</si>
  <si>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</si>
  <si>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</si>
  <si>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</si>
  <si>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</si>
  <si>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</si>
  <si>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</si>
  <si>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</si>
  <si>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</si>
  <si>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</si>
  <si>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</si>
  <si>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</si>
  <si>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</si>
  <si>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</si>
  <si>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</si>
  <si>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</si>
  <si>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</si>
  <si>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</si>
  <si>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</si>
  <si>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</si>
  <si>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</si>
  <si>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</si>
  <si>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</si>
  <si>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</si>
  <si>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</si>
  <si>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</si>
  <si>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</si>
  <si>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</si>
  <si>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</si>
  <si>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</si>
  <si>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</si>
  <si>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</si>
  <si>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</si>
  <si>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</si>
  <si>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</si>
  <si>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</si>
  <si>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</si>
  <si>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</si>
  <si>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</si>
  <si>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</si>
  <si>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</si>
  <si>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</si>
  <si>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</si>
  <si>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</si>
  <si>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</si>
  <si>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</si>
  <si>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</si>
  <si>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</si>
  <si>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</si>
  <si>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</si>
  <si>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</si>
  <si>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</si>
  <si>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</si>
  <si>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</si>
  <si>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</si>
  <si>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</si>
  <si>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</si>
  <si>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</si>
  <si>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</si>
  <si>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</si>
  <si>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</si>
  <si>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</si>
  <si>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</si>
  <si>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</si>
  <si>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</si>
  <si>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</si>
  <si>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</si>
  <si>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</si>
  <si>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</si>
  <si>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</si>
  <si>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</si>
  <si>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</si>
  <si>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</si>
  <si>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</si>
  <si>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</si>
  <si>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</si>
  <si>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</si>
  <si>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</si>
  <si>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</si>
  <si>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</si>
  <si>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</si>
  <si>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</si>
  <si>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</si>
  <si>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</si>
  <si>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</si>
  <si>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Row Labels</t>
  </si>
  <si>
    <t>Grand Total</t>
  </si>
  <si>
    <t>Sum of Profit</t>
  </si>
  <si>
    <t>Sum of Units_Sold</t>
  </si>
  <si>
    <t>Count of Units_Sold</t>
  </si>
  <si>
    <t>Total Sales</t>
  </si>
  <si>
    <t>Sum of Total Sales</t>
  </si>
  <si>
    <t>Qtr1</t>
  </si>
  <si>
    <t>Qtr2</t>
  </si>
  <si>
    <t>Qtr3</t>
  </si>
  <si>
    <t>Qtr4</t>
  </si>
  <si>
    <t>Adidas US Interactive Sales Dashboard</t>
  </si>
  <si>
    <t>Units Sold</t>
  </si>
  <si>
    <t>Retailers</t>
  </si>
  <si>
    <t xml:space="preserve">           </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</si>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</sst>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3" tint="9.9978637043366805E-2"/>
      <name val="Aptos Narrow"/>
      <family val="2"/>
      <scheme val="minor"/>
    </font>
    <font>
      <b/>
      <sz val="26"/>
      <color theme="0"/>
      <name val="Aptos Narrow"/>
      <family val="2"/>
      <scheme val="minor"/>
    </font>
    <font>
      <b/>
      <sz val="26"/>
      <color theme="1"/>
      <name val="Aptos Narrow"/>
      <family val="2"/>
      <scheme val="minor"/>
    </font>
    <font>
      <b/>
      <sz val="18"/>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2060"/>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3">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applyAlignment="1">
      <alignment horizontal="left"/>
    </xf>
    <xf numFmtId="0" fontId="0" fillId="0" borderId="0" xfId="0" pivotButton="1"/>
    <xf numFmtId="0" fontId="0" fillId="0" borderId="0" xfId="0" applyAlignment="1">
      <alignment horizontal="left" indent="1"/>
    </xf>
    <xf numFmtId="164" fontId="0" fillId="0" borderId="0" xfId="0" applyNumberFormat="1"/>
    <xf numFmtId="0" fontId="18" fillId="34" borderId="0" xfId="0" applyFont="1" applyFill="1"/>
    <xf numFmtId="0" fontId="0" fillId="34" borderId="0" xfId="0" applyFill="1"/>
    <xf numFmtId="0" fontId="0" fillId="35" borderId="0" xfId="0" applyFill="1"/>
    <xf numFmtId="1" fontId="0" fillId="0" borderId="0" xfId="0" applyNumberFormat="1"/>
    <xf numFmtId="164" fontId="0" fillId="0" borderId="0" xfId="0" pivotButton="1" applyNumberFormat="1"/>
    <xf numFmtId="164" fontId="0" fillId="0" borderId="0" xfId="0" applyNumberFormat="1" applyAlignment="1">
      <alignment horizontal="left"/>
    </xf>
    <xf numFmtId="164" fontId="0" fillId="0" borderId="0" xfId="0" applyNumberFormat="1" applyAlignment="1">
      <alignment horizontal="left" indent="1"/>
    </xf>
    <xf numFmtId="0" fontId="21" fillId="35" borderId="0" xfId="0" applyFont="1" applyFill="1" applyAlignment="1">
      <alignment horizontal="left" vertical="top" indent="2"/>
    </xf>
    <xf numFmtId="0" fontId="21" fillId="0" borderId="0" xfId="0" applyFont="1" applyAlignment="1">
      <alignment horizontal="left" vertical="top" indent="2"/>
    </xf>
    <xf numFmtId="0" fontId="21" fillId="35" borderId="0" xfId="0" applyFont="1" applyFill="1" applyAlignment="1">
      <alignment horizontal="center" vertical="center"/>
    </xf>
    <xf numFmtId="0" fontId="21" fillId="0" borderId="0" xfId="0" applyFont="1" applyAlignment="1">
      <alignment horizontal="center" vertical="center"/>
    </xf>
    <xf numFmtId="0" fontId="19" fillId="34" borderId="0" xfId="0" applyFont="1" applyFill="1" applyAlignment="1">
      <alignment horizontal="center" vertical="center"/>
    </xf>
    <xf numFmtId="0" fontId="20" fillId="34" borderId="0" xfId="0" applyFont="1" applyFill="1" applyAlignment="1">
      <alignment horizontal="center" vertical="center"/>
    </xf>
    <xf numFmtId="164" fontId="21" fillId="35" borderId="0" xfId="42" applyNumberFormat="1" applyFont="1" applyFill="1" applyAlignment="1">
      <alignment horizontal="left" vertical="top" indent="1"/>
    </xf>
    <xf numFmtId="164" fontId="21" fillId="0" borderId="0" xfId="42" applyNumberFormat="1" applyFont="1" applyAlignment="1">
      <alignment horizontal="left" vertical="top"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Tables!PivotTable6</c:name>
    <c:fmtId val="4"/>
  </c:pivotSource>
  <c:chart>
    <c:title>
      <c:tx>
        <c:rich>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000" b="0" cap="none" spc="0">
                <a:ln w="0"/>
                <a:solidFill>
                  <a:schemeClr val="tx1"/>
                </a:solidFill>
                <a:effectLst>
                  <a:outerShdw blurRad="38100" dist="19050" dir="2700000" algn="tl" rotWithShape="0">
                    <a:schemeClr val="dk1">
                      <a:alpha val="40000"/>
                    </a:schemeClr>
                  </a:outerShdw>
                </a:effectLst>
              </a:rPr>
              <a:t>Profit Per Product</a:t>
            </a:r>
          </a:p>
        </c:rich>
      </c:tx>
      <c:overlay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solidFill>
              <a:srgbClr val="002060"/>
            </a:solidFill>
          </a:ln>
          <a:effectLst/>
        </c:spPr>
      </c:pivotFmt>
    </c:pivotFmts>
    <c:plotArea>
      <c:layout>
        <c:manualLayout>
          <c:layoutTarget val="inner"/>
          <c:xMode val="edge"/>
          <c:yMode val="edge"/>
          <c:x val="4.1079354904160426E-2"/>
          <c:y val="0.20900821750647935"/>
          <c:w val="0.95892064509583963"/>
          <c:h val="0.6127830616922455"/>
        </c:manualLayout>
      </c:layout>
      <c:barChart>
        <c:barDir val="col"/>
        <c:grouping val="clustered"/>
        <c:varyColors val="0"/>
        <c:ser>
          <c:idx val="0"/>
          <c:order val="0"/>
          <c:tx>
            <c:strRef>
              <c:f>'Pivot Tables'!$G$5</c:f>
              <c:strCache>
                <c:ptCount val="1"/>
                <c:pt idx="0">
                  <c:v>Total</c:v>
                </c:pt>
              </c:strCache>
            </c:strRef>
          </c:tx>
          <c:spPr>
            <a:solidFill>
              <a:srgbClr val="002060"/>
            </a:solidFill>
            <a:ln>
              <a:solidFill>
                <a:srgbClr val="002060"/>
              </a:solidFill>
            </a:ln>
            <a:effectLst/>
          </c:spPr>
          <c:invertIfNegative val="0"/>
          <c:dPt>
            <c:idx val="3"/>
            <c:invertIfNegative val="0"/>
            <c:bubble3D val="0"/>
            <c:spPr>
              <a:solidFill>
                <a:srgbClr val="FFC000"/>
              </a:solidFill>
              <a:ln>
                <a:solidFill>
                  <a:srgbClr val="002060"/>
                </a:solidFill>
              </a:ln>
              <a:effectLst/>
            </c:spPr>
            <c:extLst>
              <c:ext xmlns:c16="http://schemas.microsoft.com/office/drawing/2014/chart" uri="{C3380CC4-5D6E-409C-BE32-E72D297353CC}">
                <c16:uniqueId val="{00000001-73EC-4F60-AC30-C572AF80C83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Tables'!$F$6:$F$12</c:f>
              <c:multiLvlStrCache>
                <c:ptCount val="5"/>
                <c:lvl>
                  <c:pt idx="2">
                    <c:v>Female</c:v>
                  </c:pt>
                  <c:pt idx="3">
                    <c:v>Male</c:v>
                  </c:pt>
                  <c:pt idx="4">
                    <c:v>Other</c:v>
                  </c:pt>
                </c:lvl>
                <c:lvl>
                  <c:pt idx="0">
                    <c:v>Accessories</c:v>
                  </c:pt>
                  <c:pt idx="1">
                    <c:v>Apparel</c:v>
                  </c:pt>
                  <c:pt idx="2">
                    <c:v>Footwear</c:v>
                  </c:pt>
                </c:lvl>
              </c:multiLvlStrCache>
            </c:multiLvlStrRef>
          </c:cat>
          <c:val>
            <c:numRef>
              <c:f>'Pivot Tables'!$G$6:$G$12</c:f>
              <c:numCache>
                <c:formatCode>_("$"* #,##0_);_("$"* \(#,##0\);_("$"* "-"??_);_(@_)</c:formatCode>
                <c:ptCount val="5"/>
                <c:pt idx="0">
                  <c:v>10185.759999999998</c:v>
                </c:pt>
                <c:pt idx="1">
                  <c:v>22056.459999999981</c:v>
                </c:pt>
                <c:pt idx="2">
                  <c:v>22836.05000000001</c:v>
                </c:pt>
                <c:pt idx="3">
                  <c:v>29296.449999999993</c:v>
                </c:pt>
                <c:pt idx="4">
                  <c:v>695.12999999999988</c:v>
                </c:pt>
              </c:numCache>
            </c:numRef>
          </c:val>
          <c:extLst>
            <c:ext xmlns:c16="http://schemas.microsoft.com/office/drawing/2014/chart" uri="{C3380CC4-5D6E-409C-BE32-E72D297353CC}">
              <c16:uniqueId val="{00000000-73EC-4F60-AC30-C572AF80C837}"/>
            </c:ext>
          </c:extLst>
        </c:ser>
        <c:dLbls>
          <c:showLegendKey val="0"/>
          <c:showVal val="0"/>
          <c:showCatName val="0"/>
          <c:showSerName val="0"/>
          <c:showPercent val="0"/>
          <c:showBubbleSize val="0"/>
        </c:dLbls>
        <c:gapWidth val="140"/>
        <c:overlap val="-27"/>
        <c:axId val="1857021919"/>
        <c:axId val="74279439"/>
      </c:barChart>
      <c:catAx>
        <c:axId val="185702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4279439"/>
        <c:crosses val="autoZero"/>
        <c:auto val="1"/>
        <c:lblAlgn val="ctr"/>
        <c:lblOffset val="100"/>
        <c:noMultiLvlLbl val="0"/>
      </c:catAx>
      <c:valAx>
        <c:axId val="74279439"/>
        <c:scaling>
          <c:orientation val="minMax"/>
        </c:scaling>
        <c:delete val="1"/>
        <c:axPos val="l"/>
        <c:numFmt formatCode="_(&quot;$&quot;* #,##0_);_(&quot;$&quot;* \(#,##0\);_(&quot;$&quot;* &quot;-&quot;??_);_(@_)" sourceLinked="1"/>
        <c:majorTickMark val="none"/>
        <c:minorTickMark val="none"/>
        <c:tickLblPos val="nextTo"/>
        <c:crossAx val="185702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Tables!PivotTable7</c:name>
    <c:fmtId val="8"/>
  </c:pivotSource>
  <c:chart>
    <c:title>
      <c:tx>
        <c:rich>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000" b="0" cap="none" spc="0">
                <a:ln w="0"/>
                <a:solidFill>
                  <a:schemeClr val="tx1"/>
                </a:solidFill>
                <a:effectLst>
                  <a:outerShdw blurRad="38100" dist="19050" dir="2700000" algn="tl" rotWithShape="0">
                    <a:schemeClr val="dk1">
                      <a:alpha val="40000"/>
                    </a:schemeClr>
                  </a:outerShdw>
                </a:effectLst>
              </a:rPr>
              <a:t>Sales Method</a:t>
            </a:r>
          </a:p>
        </c:rich>
      </c:tx>
      <c:overlay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C000"/>
          </a:solidFill>
          <a:ln w="19050">
            <a:solidFill>
              <a:schemeClr val="lt1"/>
            </a:solidFill>
          </a:ln>
          <a:effectLst/>
        </c:spPr>
      </c:pivotFmt>
      <c:pivotFmt>
        <c:idx val="2"/>
        <c:spPr>
          <a:solidFill>
            <a:srgbClr val="002060"/>
          </a:solidFill>
          <a:ln w="19050">
            <a:solidFill>
              <a:schemeClr val="lt1"/>
            </a:solidFill>
          </a:ln>
          <a:effectLst/>
        </c:spPr>
      </c:pivotFmt>
      <c:pivotFmt>
        <c:idx val="3"/>
        <c:spPr>
          <a:solidFill>
            <a:srgbClr val="0070C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C000"/>
          </a:solidFill>
          <a:ln w="19050">
            <a:solidFill>
              <a:schemeClr val="lt1"/>
            </a:solidFill>
          </a:ln>
          <a:effectLst/>
        </c:spPr>
      </c:pivotFmt>
      <c:pivotFmt>
        <c:idx val="6"/>
        <c:spPr>
          <a:solidFill>
            <a:srgbClr val="0070C0"/>
          </a:solidFill>
          <a:ln w="19050">
            <a:solidFill>
              <a:schemeClr val="lt1"/>
            </a:solidFill>
          </a:ln>
          <a:effectLst/>
        </c:spPr>
      </c:pivotFmt>
      <c:pivotFmt>
        <c:idx val="7"/>
        <c:spPr>
          <a:solidFill>
            <a:srgbClr val="002060"/>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C000"/>
          </a:solidFill>
          <a:ln w="19050">
            <a:solidFill>
              <a:schemeClr val="lt1"/>
            </a:solidFill>
          </a:ln>
          <a:effectLst/>
        </c:spPr>
      </c:pivotFmt>
      <c:pivotFmt>
        <c:idx val="11"/>
        <c:spPr>
          <a:solidFill>
            <a:srgbClr val="0070C0"/>
          </a:solidFill>
          <a:ln w="19050">
            <a:solidFill>
              <a:schemeClr val="lt1"/>
            </a:solidFill>
          </a:ln>
          <a:effectLst/>
        </c:spPr>
      </c:pivotFmt>
      <c:pivotFmt>
        <c:idx val="12"/>
        <c:spPr>
          <a:solidFill>
            <a:srgbClr val="002060"/>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Tables'!$N$5</c:f>
              <c:strCache>
                <c:ptCount val="1"/>
                <c:pt idx="0">
                  <c:v>Total</c:v>
                </c:pt>
              </c:strCache>
            </c:strRef>
          </c:tx>
          <c:explosion val="13"/>
          <c:dPt>
            <c:idx val="0"/>
            <c:bubble3D val="0"/>
            <c:spPr>
              <a:solidFill>
                <a:srgbClr val="FFC000"/>
              </a:solidFill>
              <a:ln w="19050">
                <a:solidFill>
                  <a:schemeClr val="lt1"/>
                </a:solidFill>
              </a:ln>
              <a:effectLst/>
            </c:spPr>
            <c:extLst>
              <c:ext xmlns:c16="http://schemas.microsoft.com/office/drawing/2014/chart" uri="{C3380CC4-5D6E-409C-BE32-E72D297353CC}">
                <c16:uniqueId val="{00000001-8EDE-423D-8EDF-CB7C8EB5B485}"/>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8EDE-423D-8EDF-CB7C8EB5B485}"/>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8EDE-423D-8EDF-CB7C8EB5B4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DE-423D-8EDF-CB7C8EB5B485}"/>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Tables'!$M$6:$M$10</c:f>
              <c:strCache>
                <c:ptCount val="4"/>
                <c:pt idx="0">
                  <c:v>Online</c:v>
                </c:pt>
                <c:pt idx="1">
                  <c:v>Outlet</c:v>
                </c:pt>
                <c:pt idx="2">
                  <c:v>Retail</c:v>
                </c:pt>
                <c:pt idx="3">
                  <c:v>Wholesale</c:v>
                </c:pt>
              </c:strCache>
            </c:strRef>
          </c:cat>
          <c:val>
            <c:numRef>
              <c:f>'Pivot Tables'!$N$6:$N$10</c:f>
              <c:numCache>
                <c:formatCode>General</c:formatCode>
                <c:ptCount val="4"/>
                <c:pt idx="0">
                  <c:v>141095.75999999995</c:v>
                </c:pt>
                <c:pt idx="1">
                  <c:v>36414.049999999996</c:v>
                </c:pt>
                <c:pt idx="2">
                  <c:v>109014.06999999991</c:v>
                </c:pt>
                <c:pt idx="3">
                  <c:v>19491.28999999999</c:v>
                </c:pt>
              </c:numCache>
            </c:numRef>
          </c:val>
          <c:extLst>
            <c:ext xmlns:c16="http://schemas.microsoft.com/office/drawing/2014/chart" uri="{C3380CC4-5D6E-409C-BE32-E72D297353CC}">
              <c16:uniqueId val="{00000008-8EDE-423D-8EDF-CB7C8EB5B485}"/>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6274431321084868"/>
          <c:y val="0.30146434820647416"/>
          <c:w val="0.22336679790026248"/>
          <c:h val="0.50084426946631666"/>
        </c:manualLayout>
      </c:layout>
      <c:overlay val="0"/>
      <c:spPr>
        <a:noFill/>
        <a:ln>
          <a:noFill/>
        </a:ln>
        <a:effectLst/>
      </c:spPr>
      <c:txPr>
        <a:bodyPr rot="0" spcFirstLastPara="1" vertOverflow="ellipsis" vert="horz" wrap="square" anchor="ctr" anchorCtr="1"/>
        <a:lstStyle/>
        <a:p>
          <a:pPr>
            <a:defRPr sz="11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Tables!PivotTable8</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cap="none" spc="0">
                <a:ln w="0"/>
                <a:solidFill>
                  <a:schemeClr val="tx1"/>
                </a:solidFill>
                <a:effectLst>
                  <a:outerShdw blurRad="38100" dist="19050" dir="2700000" algn="tl" rotWithShape="0">
                    <a:schemeClr val="dk1">
                      <a:alpha val="40000"/>
                    </a:schemeClr>
                  </a:outerShdw>
                </a:effectLst>
              </a:rPr>
              <a:t>Retailers Sales</a:t>
            </a:r>
          </a:p>
        </c:rich>
      </c:tx>
      <c:layout>
        <c:manualLayout>
          <c:xMode val="edge"/>
          <c:yMode val="edge"/>
          <c:x val="0.44692647971336497"/>
          <c:y val="3.0556106093446948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solidFill>
              <a:srgbClr val="FFC000"/>
            </a:solidFill>
          </a:ln>
          <a:effectLst/>
        </c:spPr>
      </c:pivotFmt>
    </c:pivotFmts>
    <c:plotArea>
      <c:layout/>
      <c:barChart>
        <c:barDir val="bar"/>
        <c:grouping val="clustered"/>
        <c:varyColors val="0"/>
        <c:ser>
          <c:idx val="0"/>
          <c:order val="0"/>
          <c:tx>
            <c:strRef>
              <c:f>'Pivot Tables'!$Q$5</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solidFill>
                  <a:srgbClr val="FFC000"/>
                </a:solidFill>
              </a:ln>
              <a:effectLst/>
            </c:spPr>
            <c:extLst>
              <c:ext xmlns:c16="http://schemas.microsoft.com/office/drawing/2014/chart" uri="{C3380CC4-5D6E-409C-BE32-E72D297353CC}">
                <c16:uniqueId val="{00000001-D7EA-4EA7-AB1A-25CAC6C8879A}"/>
              </c:ext>
            </c:extLst>
          </c:dPt>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Tables'!$P$6:$P$30</c:f>
              <c:multiLvlStrCache>
                <c:ptCount val="20"/>
                <c:lvl>
                  <c:pt idx="0">
                    <c:v>Iraq</c:v>
                  </c:pt>
                  <c:pt idx="1">
                    <c:v>Egypt</c:v>
                  </c:pt>
                  <c:pt idx="2">
                    <c:v>Oman</c:v>
                  </c:pt>
                  <c:pt idx="3">
                    <c:v>KSA</c:v>
                  </c:pt>
                  <c:pt idx="4">
                    <c:v>Lebanon</c:v>
                  </c:pt>
                  <c:pt idx="5">
                    <c:v>Egypt</c:v>
                  </c:pt>
                  <c:pt idx="6">
                    <c:v>Iraq</c:v>
                  </c:pt>
                  <c:pt idx="7">
                    <c:v>Oman</c:v>
                  </c:pt>
                  <c:pt idx="8">
                    <c:v>KSA</c:v>
                  </c:pt>
                  <c:pt idx="9">
                    <c:v>Lebanon</c:v>
                  </c:pt>
                  <c:pt idx="10">
                    <c:v>Egypt</c:v>
                  </c:pt>
                  <c:pt idx="11">
                    <c:v>Oman</c:v>
                  </c:pt>
                  <c:pt idx="12">
                    <c:v>Iraq</c:v>
                  </c:pt>
                  <c:pt idx="13">
                    <c:v>KSA</c:v>
                  </c:pt>
                  <c:pt idx="14">
                    <c:v>Lebanon</c:v>
                  </c:pt>
                  <c:pt idx="15">
                    <c:v>Iraq</c:v>
                  </c:pt>
                  <c:pt idx="16">
                    <c:v>Oman</c:v>
                  </c:pt>
                  <c:pt idx="17">
                    <c:v>Egypt</c:v>
                  </c:pt>
                  <c:pt idx="18">
                    <c:v>KSA</c:v>
                  </c:pt>
                  <c:pt idx="19">
                    <c:v>Lebanon</c:v>
                  </c:pt>
                </c:lvl>
                <c:lvl>
                  <c:pt idx="0">
                    <c:v>Online</c:v>
                  </c:pt>
                  <c:pt idx="5">
                    <c:v>Outlet</c:v>
                  </c:pt>
                  <c:pt idx="10">
                    <c:v>Retail</c:v>
                  </c:pt>
                  <c:pt idx="15">
                    <c:v>Wholesale</c:v>
                  </c:pt>
                </c:lvl>
              </c:multiLvlStrCache>
            </c:multiLvlStrRef>
          </c:cat>
          <c:val>
            <c:numRef>
              <c:f>'Pivot Tables'!$Q$6:$Q$30</c:f>
              <c:numCache>
                <c:formatCode>General</c:formatCode>
                <c:ptCount val="20"/>
                <c:pt idx="0">
                  <c:v>42968.87999999999</c:v>
                </c:pt>
                <c:pt idx="1">
                  <c:v>40491.62999999999</c:v>
                </c:pt>
                <c:pt idx="2">
                  <c:v>33207.760000000002</c:v>
                </c:pt>
                <c:pt idx="3">
                  <c:v>17387.470000000012</c:v>
                </c:pt>
                <c:pt idx="4">
                  <c:v>7040.0199999999986</c:v>
                </c:pt>
                <c:pt idx="5">
                  <c:v>11838.969999999998</c:v>
                </c:pt>
                <c:pt idx="6">
                  <c:v>10930.54</c:v>
                </c:pt>
                <c:pt idx="7">
                  <c:v>6467.04</c:v>
                </c:pt>
                <c:pt idx="8">
                  <c:v>4703.0999999999995</c:v>
                </c:pt>
                <c:pt idx="9">
                  <c:v>2474.3999999999992</c:v>
                </c:pt>
                <c:pt idx="10">
                  <c:v>34355.640000000014</c:v>
                </c:pt>
                <c:pt idx="11">
                  <c:v>27640.579999999994</c:v>
                </c:pt>
                <c:pt idx="12">
                  <c:v>27130.17</c:v>
                </c:pt>
                <c:pt idx="13">
                  <c:v>11459.630000000001</c:v>
                </c:pt>
                <c:pt idx="14">
                  <c:v>8428.0500000000011</c:v>
                </c:pt>
                <c:pt idx="15">
                  <c:v>6015.28</c:v>
                </c:pt>
                <c:pt idx="16">
                  <c:v>5835.1500000000005</c:v>
                </c:pt>
                <c:pt idx="17">
                  <c:v>5359.93</c:v>
                </c:pt>
                <c:pt idx="18">
                  <c:v>1643.7600000000002</c:v>
                </c:pt>
                <c:pt idx="19">
                  <c:v>637.17000000000007</c:v>
                </c:pt>
              </c:numCache>
            </c:numRef>
          </c:val>
          <c:extLst>
            <c:ext xmlns:c16="http://schemas.microsoft.com/office/drawing/2014/chart" uri="{C3380CC4-5D6E-409C-BE32-E72D297353CC}">
              <c16:uniqueId val="{00000000-D7EA-4EA7-AB1A-25CAC6C8879A}"/>
            </c:ext>
          </c:extLst>
        </c:ser>
        <c:dLbls>
          <c:dLblPos val="outEnd"/>
          <c:showLegendKey val="0"/>
          <c:showVal val="1"/>
          <c:showCatName val="0"/>
          <c:showSerName val="0"/>
          <c:showPercent val="0"/>
          <c:showBubbleSize val="0"/>
        </c:dLbls>
        <c:gapWidth val="141"/>
        <c:axId val="76829039"/>
        <c:axId val="74253999"/>
      </c:barChart>
      <c:catAx>
        <c:axId val="768290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53999"/>
        <c:crosses val="autoZero"/>
        <c:auto val="1"/>
        <c:lblAlgn val="ctr"/>
        <c:lblOffset val="100"/>
        <c:noMultiLvlLbl val="0"/>
      </c:catAx>
      <c:valAx>
        <c:axId val="74253999"/>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682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Tables!PivotTable10</c:name>
    <c:fmtId val="8"/>
  </c:pivotSource>
  <c:chart>
    <c:title>
      <c:tx>
        <c:rich>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000" b="0" cap="none" spc="0">
                <a:ln w="0"/>
                <a:solidFill>
                  <a:schemeClr val="tx1"/>
                </a:solidFill>
                <a:effectLst>
                  <a:outerShdw blurRad="38100" dist="19050" dir="2700000" algn="tl" rotWithShape="0">
                    <a:schemeClr val="dk1">
                      <a:alpha val="40000"/>
                    </a:schemeClr>
                  </a:outerShdw>
                </a:effectLst>
              </a:rPr>
              <a:t>Sales Trend By Quarters</a:t>
            </a:r>
          </a:p>
        </c:rich>
      </c:tx>
      <c:overlay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3492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rgbClr val="002060"/>
            </a:solidFill>
            <a:round/>
          </a:ln>
          <a:effectLst/>
        </c:spPr>
        <c:marker>
          <c:symbol val="none"/>
        </c:marker>
      </c:pivotFmt>
    </c:pivotFmts>
    <c:plotArea>
      <c:layout/>
      <c:lineChart>
        <c:grouping val="standard"/>
        <c:varyColors val="0"/>
        <c:ser>
          <c:idx val="0"/>
          <c:order val="0"/>
          <c:tx>
            <c:strRef>
              <c:f>'Pivot Tables'!$W$5</c:f>
              <c:strCache>
                <c:ptCount val="1"/>
                <c:pt idx="0">
                  <c:v>Total</c:v>
                </c:pt>
              </c:strCache>
            </c:strRef>
          </c:tx>
          <c:spPr>
            <a:ln w="34925" cap="rnd">
              <a:solidFill>
                <a:srgbClr val="002060"/>
              </a:solidFill>
              <a:round/>
            </a:ln>
            <a:effectLst/>
          </c:spPr>
          <c:marker>
            <c:symbol val="none"/>
          </c:marker>
          <c:dPt>
            <c:idx val="3"/>
            <c:marker>
              <c:symbol val="none"/>
            </c:marker>
            <c:bubble3D val="0"/>
            <c:spPr>
              <a:ln w="34925" cap="rnd">
                <a:solidFill>
                  <a:srgbClr val="002060"/>
                </a:solidFill>
                <a:round/>
              </a:ln>
              <a:effectLst/>
            </c:spPr>
            <c:extLst>
              <c:ext xmlns:c16="http://schemas.microsoft.com/office/drawing/2014/chart" uri="{C3380CC4-5D6E-409C-BE32-E72D297353CC}">
                <c16:uniqueId val="{00000001-31A1-4D99-877A-A0451EAC0E21}"/>
              </c:ext>
            </c:extLst>
          </c:dPt>
          <c:cat>
            <c:strRef>
              <c:f>'Pivot Tables'!$V$6:$V$10</c:f>
              <c:strCache>
                <c:ptCount val="4"/>
                <c:pt idx="0">
                  <c:v>Qtr1</c:v>
                </c:pt>
                <c:pt idx="1">
                  <c:v>Qtr2</c:v>
                </c:pt>
                <c:pt idx="2">
                  <c:v>Qtr3</c:v>
                </c:pt>
                <c:pt idx="3">
                  <c:v>Qtr4</c:v>
                </c:pt>
              </c:strCache>
            </c:strRef>
          </c:cat>
          <c:val>
            <c:numRef>
              <c:f>'Pivot Tables'!$W$6:$W$10</c:f>
              <c:numCache>
                <c:formatCode>General</c:formatCode>
                <c:ptCount val="4"/>
                <c:pt idx="0">
                  <c:v>79423.06</c:v>
                </c:pt>
                <c:pt idx="1">
                  <c:v>86367.140000000029</c:v>
                </c:pt>
                <c:pt idx="2">
                  <c:v>78594.490000000005</c:v>
                </c:pt>
                <c:pt idx="3">
                  <c:v>61630.479999999981</c:v>
                </c:pt>
              </c:numCache>
            </c:numRef>
          </c:val>
          <c:smooth val="1"/>
          <c:extLst>
            <c:ext xmlns:c16="http://schemas.microsoft.com/office/drawing/2014/chart" uri="{C3380CC4-5D6E-409C-BE32-E72D297353CC}">
              <c16:uniqueId val="{00000000-31A1-4D99-877A-A0451EAC0E21}"/>
            </c:ext>
          </c:extLst>
        </c:ser>
        <c:dLbls>
          <c:showLegendKey val="0"/>
          <c:showVal val="0"/>
          <c:showCatName val="0"/>
          <c:showSerName val="0"/>
          <c:showPercent val="0"/>
          <c:showBubbleSize val="0"/>
        </c:dLbls>
        <c:smooth val="0"/>
        <c:axId val="1858072271"/>
        <c:axId val="74270319"/>
      </c:lineChart>
      <c:catAx>
        <c:axId val="185807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70319"/>
        <c:crosses val="autoZero"/>
        <c:auto val="1"/>
        <c:lblAlgn val="ctr"/>
        <c:lblOffset val="100"/>
        <c:noMultiLvlLbl val="0"/>
      </c:catAx>
      <c:valAx>
        <c:axId val="74270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85807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Region</cx:v>
        </cx:txData>
      </cx:tx>
      <cx:txPr>
        <a:bodyPr spcFirstLastPara="1" vertOverflow="ellipsis" horzOverflow="overflow" wrap="square" lIns="0" tIns="0" rIns="0" bIns="0" anchor="ctr" anchorCtr="1"/>
        <a:lstStyle/>
        <a:p>
          <a:pPr algn="ctr" rtl="0">
            <a:defRPr sz="2000" b="1"/>
          </a:pPr>
          <a:r>
            <a:rPr lang="en-US" sz="2000" b="1" i="0" u="none" strike="noStrike" baseline="0">
              <a:solidFill>
                <a:sysClr val="windowText" lastClr="000000">
                  <a:lumMod val="65000"/>
                  <a:lumOff val="35000"/>
                </a:sysClr>
              </a:solidFill>
              <a:latin typeface="Aptos Narrow" panose="02110004020202020204"/>
            </a:rPr>
            <a:t>Sales Region</a:t>
          </a:r>
        </a:p>
      </cx:txPr>
    </cx:title>
    <cx:plotArea>
      <cx:plotAreaRegion>
        <cx:series layoutId="regionMap" uniqueId="{00000000-442B-45D4-BF36-CD01C3D55D49}">
          <cx:dataPt idx="1">
            <cx:spPr>
              <a:solidFill>
                <a:srgbClr val="0E2841">
                  <a:lumMod val="75000"/>
                  <a:lumOff val="25000"/>
                </a:srgbClr>
              </a:solidFill>
            </cx:spPr>
          </cx:dataPt>
          <cx:dataPt idx="2">
            <cx:spPr>
              <a:solidFill>
                <a:srgbClr val="0E2841">
                  <a:lumMod val="50000"/>
                  <a:lumOff val="50000"/>
                </a:srgbClr>
              </a:solidFill>
            </cx:spPr>
          </cx:dataPt>
          <cx:dataPt idx="3">
            <cx:spPr>
              <a:solidFill>
                <a:srgbClr val="FFC000"/>
              </a:solidFill>
            </cx:spPr>
          </cx:dataPt>
          <cx:dataLabels>
            <cx:visibility seriesName="0" categoryName="0" value="1"/>
            <cx:separator>, </cx:separator>
          </cx:dataLabels>
          <cx:dataId val="0"/>
          <cx:layoutPr>
            <cx:geography viewedRegionType="dataOnly" cultureLanguage="en-US" cultureRegion="US" attribution="Powered by Bing">
              <cx:geoCache provider="{E9337A44-BEBE-4D9F-B70C-5C5E7DAFC167}">
                <cx:binary>5Hvbktw4kuWvlNXzsgoXAiDbusdsQDIiMvKeSilVeqGlUhJAgiRA8Aby68dTmiqTQjLl9E6v9cPq
ocoUDIYDDvfjx49Df38Kf3tqPj76X0LbdMPfnsI/ftXj6P72++/Dk/7YPg6/tdWTt4P9NP72ZNvf
7adP1dPH3z/4x6Xq1O8E4fj3J/3ox4/h1//4O/ya+mgv7NPjWNnudvro17uPw9SMw0+e/fDRL092
6sbn1xX80j9+LdTqxl9/+diN1bjer+7jP3795hu//vL76e98Z/OXBpY1Th/gXcJ/Y4gQzlL66y+N
7dSfn6e/JSLGKCUCff5D/rR59djCey8u4/MiHj988B+H4Zf//v9fr32z4r8+rQabfdlsZp/XVuw/
b+b3b535H38/+QC2d/LJV/4+9cVLj07dfeYf+z93/r/3NqW/oZSxBCP2jbfj+Dcs4lRwyr54G/9p
84u3X1rFj5395a0TX3/58NTVZ7f/fldft4/dn9v+37ua4N+eXUkSjv9y6VfxzQQ8pjxJkhNXv7SK
H7v6y1snrv7y4amrry///a4+f/Wf/0JPQ/ASTkSa0B95GmKbxQlO4yRJP/9J/jT9JbZfPU4fql/+
0z++rx7/fPKj4/+x4799++QAvn14ehDPPgCsPMGO7z74fwovFx/fP3b2Xxj2gDApIQQjnn6DMJT9
lqSMMkbwl1OAx19qyJdT+B8s5McH8NeLJ77/6/NTt1/If7/bvw2Mf1kt/f86EU7y6KtC+xf/yB/H
x+IzcfkfP/0cdEClTl79Gf/5cpxnH/7xKxefQ+0Lf3j+hW9C/hsK8+fXPz4O4z9+pRyyhUCZTghm
lBIE5Gj5+PyExL/xlMUiiWlKKdRxKOSd9aOGl/BvXGCo7jRBAIiQbb/+Mtjp+REUozSNMU0EFpxh
Cgv7c2M3tlmV7f7y0X///Zduam9s1Y3DP34FwHRfvvW8SkFi+A0eJ3EscEIJE7BL9/R4BzQUvoz/
TxKtFvuYq2xJYpkEemhtc3S9lnXvZNwMu766/8oxP7AY/8hiSjEGqxSWDzXza4uu1Yn2m1CZEck5
RXbfllX2cxMYfW8DGKcAv7EkRuCkb22sDXaN70qVlf5JD9dNSaXm7txxJ5WK8hhdtcRm7frpn7Wb
0PSZkCEOxkWcADB+vbdqmlZtENjtRpqb0u4jj6+sSs45LRhVRajdLWnYPuHvfm75+Zi+OcYk5hxT
QWMuwKXkxPCYRFatKzGZjW0pw+w7SYUrmnm+t5QuucAle8HJ30UOmEyThICLCU5IfHKO1cySVk1g
cnDr+yGE+SjqZJR6im5mJF77NE7vhrY2XyD8S179IHx+YDYFm2maMBZjTE7MojD3wla1zuymaiwX
TN6bchqKMpizxSw5TY/xIqKnn/v3u6BNYrCaxjRmQE6+O9geJ1FvVlVnTRQPNJvw2DysTdKG3c/t
8O/PEQIIGBCnmMFRnqQjVw33Q9/VWTk0srd4F4iRFnXny6pecCSAy0nIMIQp40gkjAMunYQMVzMV
rCd11olRVttVIJDw2wtGvvfbs5EUxRQIHebpyX7c1jQWR1GdVb7aVaMos2EJc/Fzp/1wJ4wTQnma
UnbqtDa0tZ9mWmde23IXzcHJsLlHWiOd//OW4jgBNI/FMxE92Y6q05pAjkMYaJQBdmajbTJIvhc2
9COvxYxBuYgJxMEz+H8NI8LWSUycrTNF9L1g/lXfuBdM4B/agCwCegdHQ0+dFi14cijAycwD9pkp
Kblpyt4eZm9fbajNVbekJl/xNOc0Ss3Bp6vPSDehO+JnTLIwsrEI5WpfWNgPDpPwGAKGiIRSjk7y
u40wVYNK6mxjlSRKyyFqZOz9C4GJn8P7W8RkUH0SqH1pkvL0tAyNyOFxqEaT0bC896kIOzXW9yht
WI4MiwqC7MdUWP4Ha1UvteWVl6SfhmPFkLnoVV8d4jqwsz522SQm+mmcqJdLQ3W+oQl9+HngfY/v
jBKaEODjFKWQrt9GBBcqbtJYgFfWV034IMqrJiO3K339czOfC+OpV0jMMI+xSDjk07d2cLrNqQnU
ZGzmx8nNy27p23CV2LKOss4Pc5/5AQshVxIWLmnwh8mQqfCRUvs1MpYXqOlfAMXvIR94k0jxMyNK
iDiF/NYNBK3TAMUtUlniV3UT0vnRjIeJnY3tEh26HkcvVLcfhCGlaQoxiICApd+hY9R2APfYZH0s
CrskjdRVdyztePy5x3+QhlBTAE0S2Br/DlFC5YYNod5kZuuEkmNbLrvWJuXdP2eGAwmC3yfPlROE
uFNCVOOI4KmF+HGriq5TTct8WsjwwmZOq9eplefNfkUmN2NL2nYaNmN7kmuqRNbYjZ+TmfZF0/rp
hcA4PaRTe8/Pv7KnUVqpeYZdMX8Z4/Otf4NfctwPTVDIOcGAcfP4JCG4RZMfUzCRNhe822SbVNLG
7Uto9IxqX+cd7CSOEYe0S2PCoL58uxNizGTqDkHeMbVcDDTi+6Z04Y9Z6PkKIT88DsOAdtXWy9CG
mwEDOG522oYXFnKKM5/XASKXeE43+t12Q7PibkhWk6lB7+eOeZmUE8AfYsVI0FzUqX0hZj7XzO+2
DkQEwDhFIH2f1NSELSBkdrPJYjGFfeza8radQidLThu5VXP9qhxSlq+mjPOezjmnEdkFo28MVi5D
9dXW9QcqbjHm/f3Yl1c/z5wfBEAc8wTKBLRILH0WW7+OMbbF0J/ECyyvXIanKKFmZ9MBSmFZBv6C
91+y9ZxfX8Vzn1DLSA3ou/ZVtiL6ga/pLlT2hS2dlr7Ph/zVlk48jni76GUD5r6oNLlQnTuaqswW
Hl+vaXW3Ek3kaKdH4W2T/9yZp2j32fLn7hW4GnD3E8tbZUYWUQ9hzqNJBs/NuSfJS5iKv8smqF4k
hSkKF8/bFCd+hBqMRlURoDWtDrJq28MKbZ9kFmXM8Z2v1Wu7qENadsd50vsm1S8A03cNKFB3whFH
JBWpEElygoQqan3YkthnQakPYoyvGtq8QhZVcmr1NfbjPZpIPlRUEl+e/dzJ30XRie2TiB3tnCIz
zD7z9GmZG0miSoYkeSFWMTmFrBMzJ07GbrH9Aq181i9rIcR0EFH1OILMITlxR96qwszrWd9MZ1RE
sZy7Tud4mPc/3+xzxHyDHs+rEAlOGIkTyk4bDCP6AVUDHPVo6ptez8cqiooI169oUxalbf9pgAR7
zziQAAtDoJycODcR5WpoYD7T3EiAjH0IXc4hpjjbhdn+3zhZEAK7S0E/gkbqW0TQ0TwPg4Kz7Jf0
oF111Gy+HdLq2MX9La7TS8e9k3gTF64qiXRrQuTqX8LoUwL2HM0ihhkHEULEoAh/uwpTiWVaRtxn
m+7i6X4cCGDUFg3iOjJ97N90dFrcqyamtt+FZnbs7ueH/B1sQCOcgN4FAhr04bE4Yb/dEKJtHIF7
mm25AC8rOXP9Tyooz802FCDGBAgaIMmd7NHWVWtJQD5zofmDsSlTTt8kY3rHkX07lusL/PKHW/rK
3HN2fQX1i9F006r2WR1Vk9xMfwzz9OrnbnvOwJPc+GZLJ24LSaxBbNj8c2Vlki8+XzpRzCVkI2DC
CxvCUKpP7UFjTIG8gPRFQXU7zY2SRYluWh1Jz3uUhWElOGcTjvynaeNrI3ETJVE+8MiURTqW9pWF
1pPJkU+MSreVbt1kM9SMZ0lSu+tElZN+0CphzVVV404c3TrXtZXjyrZXZBPhqllw9HbtkDinG9rM
u2HoS53zMbbXi4WmRVautFqudV2D+SGZDsb3/iYRa+s+dklFrks0e/M6xZvCABvTdrGE9E7UdVIM
IhKvRYLa24XoJbmoyLAkh3VJoz9wCoOK/bAM9tYjSzOMB15Kvs3hDVrIDJRkS9brGLXtWYAxbYF6
Un6qoLC+VY1yl8RicVUL5mRkRneIjfnE2LDFZ4MJ6SLdjPGaKb2pPg+W62z0MTLF2ijF9yuBTjTr
gM/3+7Kj0Ij51Dw2JvG7KsXk2IHiuxQzQxrEz0HPb5FLySiHsrsoCVeJZInb/HEeK3pjxnrXkFGf
L6wsjz02864x8QBtrucPKDKbP7AVowuEu/g2DS3N13p7xY0dr3pQm8+WTQ8kNz7ZDZPelX3dlWd4
SEVWEquLZen0eIhsaZf3A2vWNhsnu+zmKR7zllbi2s8juRlL46aiZS3dTXCiOV6jbXqlyo68ZmMY
FpCkKsfykLC0PZuTbjvHxiFpetKC49pitNFUycj3QdIB6ZulXY9LXI/Z1k2yT1C/b50Rb7lthk8e
jbRYZ3+JB0Uy4bZco7W/aYNrJURmI0MTPiW8BYavTWsk0l1Uyr7dO7YeCVoiuTUx/+DaVdcZ75Q0
9dbkUbXwQmzCDRmJFb3qW2JusIjQLZzXeB2qCuHLtN/eM7RtEsGhKVmpBvwcd9xKA4yapt0nOocV
2GxyY591JRuNmap1Kxcbk6zrUfxghu29oBX/o25od4GHxRVl97zAyriz2XJ3Vlmx4Yyr6Iw48snR
2LPMLLqXrakKp4KcRCqjxryug2okd/YsmaMVFNv4rtQf03VIOonUGr0NzF6vFs4YgAnLfqX3G/U2
W7bVHYVr5wy+FB1asS5H/1zwo61Mzh18lZVuItdVOqzQndg12yZtiy4gvKvxfM2h0mUDX/FhaUFC
aJbzJvTF1qD7hvbzICHrVMbUs+w1z7KnoXrXDUBeBtZOWSj7J4p8XfRV4y5TjLcjUCdz3UCGfVjC
hLaMch0fS/9ua+pzEObwkqVjp9K3IqxyKdvrZtxet+ytK4tlwstrC+HR3ZJEB1sky9TtuqaaDnpI
SQeJ2ZlXSwRDE4lwT15N6FO8kSZHyZRzneZJo//YCHlUEYRZwMhLEQ0oh6Mf7w30+udDPTSvhzKu
ctzXvACNXJvjCNDWz5WWU9TvpoiTp6GK+K7qh/SsVYAKhQqtRAZfehcXqhnlqpdGqpR9FHN1PjTs
2Gm1W1ZXbOMACWTiQic8tMXcsFFJRLY5o9i2WTLaN2puXM4JJhKvo8RL7YuqHVroZBN4f9n2sdaH
OBmKbkvPdBvLGKXv2ER2a93kIxSIZqt2c9xlcz09BGFyVFdgrs4b3IwfplbBFZwVHQbMizF2BQ/T
wU2HmgaJmZULWuQwlzkUAjlbu4yH2XH60C845F03vAUcy1PeoPmIVnWEZtdDl7l94smYxZVz0jXi
zejCfFVzgAXFWS37zQS3w6DlvcdoWYAEkOsI4uIY+3i7RIbyflfVdCEy2aBxmtU0PA11/5Qodruh
pjkkNVetHMu2v3bxWBZzVGNf8C55RRWc9MBifV1PW2RlsmzbbvJlfxfMuMF5U9dIuxJ0Q3DTZPEa
m/fbJsqzeS0/JAOuZatm/gZ1qjlsVF/GXXkx6uhNx+K3tZ0zl9SrVElyw2kXCjHQg1q3/oaZub/r
I0FlmgaA1y5aqkz1oYd4UlOKz1iPfXv0a4hv2xR0SBxKr6VO+1iuAurD1pQPY2dJViZT3RRt1y/h
WEJjs09ntS8DpHe5RdOnuHUTKuq1WvV9N3brDUUm7KOojS4Ub0q+34ZWnI+d0VG+JluSVUMbXzYx
OULKqYsksVHuvcrcAHq3roNcxqSVG8ZPwxQe0By4O8JAIS6meSmfUrGGXpYBbfuNsZuGtg469tbk
i3FXFbXrHmhtHoWQQ7+QJ2Y9JjGTjXfF2HUZqdo4m1edTW4Ih0oQNMrUlwxUximxGQfu8VA3nY2P
qOl8fDcoSj963APFcctUAIctkOeXFOlLkEj2QzkUm1iyTcmyv6rmq2oA5dClPKsbbc+aJvZDtoDu
QmTN+zu/+unYaL8wiWjVQt4k9dtE6bU5DjqsWMasV1K3oZZ+TUMDCQ0pysqe+DPPzmpF/Zs0GHZk
AlE5oY70WdJ1TXoeFNuyHhQKCcGM6mwckJHdCkoOyLFcar0d9KK2+2SeLGzQ9ePrzS8zaE4erGVD
wrsiVWI7lGoSOVCfJ4Vo9zTYbR4yi91bQKpH0LodqIhjPORpSNdbRaLlsPG2v2qiuRb5UKJQZUO5
0quINq2VWIXVA8SYpcn9aogMdWKdXHFpoG2M7GUQK8oto/XryHi7yHauw6FJJ5FZEBKMDIj56kB6
MQ2ZV6m6qrc+edd7t+xDyrYUSgoLKidDsgwwruvwlM9V2rOsYfYh7UJW1/ztIBzPaROJRZI5XIwk
OmOufxUSbN9Vgo37Jt76neMRFuC9ZSnGalmuWt6uN7oTraxQ+kDrsb90IjqEzi46D5q1e+EMyeBb
6hoHa6tMAFJHNKolnst2k8Ruboe69vXAaph29ItD+dqn9eXYVlbWSqm3ilggKGWVAIa2/cGNna4l
Ydsf8bpedWFI6gNX9KATl0VUVQ0M0Wd7My7JeFGaUD+1K+1y1KVLApJRuC3jci9me47Z2N9Zrap8
hWY9H3VsDu2k9UWXLGejRhSD1KiKbWv/8PV0tnSN10Vvbtsyue9cN1ynpXhoo0pJ1dHdxtwAymBg
MPAGcTKKzdy+VRt45bwZZrN3UB8ywLTyajCxOMTbfJ22+lVimM3bdQJ+OJsZSdfx9o7iea6kgVyS
FihwJNMmvqt70siIR+gYr9afJ0QPb5s13KkG39IyPEQr3S+iGdWhaQBymrFgtLMV/KLij2bZ6FyU
ntJWGoTrG1pBsRnLM7/F80012qGUNYvKVJqk8+8X3fUPY5n4OwfE97ofujFbhs3dT5s7X6O59bld
3F1VpXNOxnFPzShya535tGm0n0of3jon2kaKCsTavonfaFaHHK6uPoqp+ti2W7jQJChXpBUrj15M
l1VNlj0OsAnbEbTTpnpDqbW5N1ObLyEyspwbJaelOVfMsmvV1GTPmJlkPAMdH9bqSiF0MXpSpBuG
wiaG5VW/6T6vqxCMjJzIa1s9cq8zPjvxyQsOYsHo1HU7JUdemcIlfAfNacZhlh1PNtqPNfCBpqf2
YsG0O8w2nXc80cOB46SDOpz4PI1EreQCMJBHbnvOx8xqfrOGVM6G9Jei4Q1MjExfSxbacZ8a6G8X
10DhJjD6nc8pm63Ogi/3PHCSNXj8FGoLgi9afT9IG1C7N3RcVSagKXmalCjlwhaSxb1e3vkSmBCr
1HtOwiynUikgzsNdmtp3Xb/qYkZqay967xcJGLKOkADanPkJT5e9A5IFd6bDdeo7lSfMBburUx4k
n9Bs8sogBXM40AtlWuq5cJjv+himTXEFeCqC930WtrL7RKiOznxwaTHXfR1D2RR6LGoKqNqmHoSp
vrIFMS2CkfBYF7ga3ncrDDzHsnowaTnLegFGtVY9gLjRs9s1fooPRCiTwyCjmqU14U0Xp0bGNrpS
wXyyZPK3NR+7ZkeXtLmuKiiThxFgVGfVtAAPxSPIMDlfeqtySJzucVvStD9C11yq83kjrrsIHVk3
C8Sedu3BsCq9S8vnKxrQYqqQTziZm6wqx9Yc0mXyIaOi73ohU6iZ46VpRwHTsDKkY546A2tbcWr4
nQf1hu5g4jLjvFpRehYCbcjRuXhFNzHmXZlFuhuWwxy3CZO+HqNcC46LqVnp+lD5mMSZYgssoI7S
QcL8Rkk3JkKasUtbqTii5QOx7VztUayXfo81rr2kk3CPPS+9krUxHdAjhprX6zCLpljCur4Gfd/Q
fe/W9KMiZh7zORbuYq6pvhFDM75KuZr+mAgru0Jtqw4Xrp6XI3wTR+8Wlah2X2ufvNHtNq/ZaptA
31eVS2+g7bCAyq6m9BoIiVje6Il0RamqlMiyitbkzRyprrzWbh4SqVwQ1UU9DVxdWboilgM8OYCk
1kkoSeOFsxofgl/uls5uZ1HXM9iL/+hHEzLN4H6VdC00WhJm354eW9P16YPt5mk6Bzm66bLI0XRv
DEv3FfCx8RC2asxB4OkkcUyZAop3ySEa06s1HpdLmME/Lrg+7yI85mXXk0HiCO7vS0A287R45V9X
eNEXzq8NtFy4AxicYg069hiH19VM2TLvXXkfpa+qyh8rbqERrwFVtszxMoNKsoPC52Z9ZTVc6Io/
Vqp/5esdLY88IeQCWnN1hGo65yqGLhbtMbplBtrioFATitZT0R70ljOWqWqBhi0acF5q4qEETygf
SJVclOuW9LtuxMWc0K3LwdFXTVWe04oVDq3n1D/E4t26pdnmcbUr6WqvVOVpc+s94eWhbrNlyrYN
4u5q1Mzeuo7lYrsBg/btQrDbLXP9ztRA99WGodW63MoHn+QRd1kcztdhKnNdM1Doat/vdB2/B8Ej
ypZ5jSvZ+e7CDdWF7tF4OUJXxxPpIvASX8ZJ4tJXWRTGRZoK7eewoY8DTA0mWbGtFBmlib9voBdg
BhJvhYHU7M+RSOkdJbh/s5D+tTtPKPcXYrINVEsHv+7rrIZ+OxrjC0JH16AMruvlqkWFIfiK97Xq
AM55Gu1cuWi8a5ApryvOV0mqSefQsddyArKno/eEa8m7MEo+bhkCkO22Sdady1bTyRHjYpk7Duje
uKyaqwwtwA7BQ4I2WDoYUZ6xdOubovK8jWCsVqUAcKrqfdZxfbuilka72Fs9XrYsOmpC3qXbGp6E
akxuSeSMVAtNdAYBCc2N6PhjZyIQXToLoowHPb67SEw1+l0UGl0QyLl8TomFy0rNOlwp05cg6NAS
LvxoBAsG4tYUUy/i+3EN52ZSOpGic38Eg86ELxegcPEUlsIqiPiraMWr7Cd938MlM1csIv44xHTf
iuFh7KELO7TtqAVIVprnAsaVV7jrqOygNhcG8uQeOKm6G1O3Yw2PVVHqkp0RDBLUtiB6nazD4HdN
pPpE0r6dw33MbSxB+uqzCiflkg9iKJAa7wPvHH8/YVRe1CYRoIBULKNQmTOyMUJj2Q6Ad91Oi66M
ziYWXRoz4J3V/rjY+Wr267Pylh6nyLmrCcVFZxHO1ykZTM7GbXYqnyKGFdzxWqieIHCYuRCUbmM+
qghCauvYpev9BOOG2T3icqlDtgLTPoquJaAnGLhxB2JCiDI9N+F67gygYlJt0IcJ+6lpdFPfdsmG
XqUlzIUyPGxDJVETPVhT64sQCdRdmw6twPLGUJ5NSe9JKT2Z+kiK0k/bcWYDuqBwxSopytIOHbAF
DVHWqC03MxDcnQH1wsp0M929NulytmmuH6ymdXcxaGKjLDFNTwrFiVmu13JW9X4jq1iP2Kl7oE9r
VKTRso0yDiH+hMzaLsVgoD+cI1LnEwimZ2lHxqcy5sv9AEX/Q4O8ifZzErW3WyNGIKZziXPjTA/d
wxCHZ6hp4eLqBldWtGr2KVvVk1lGdJ7iWh3KbRZjVprRUi4buHBz9vwvO4o1wTB+2NWDCH23A+3a
tezOjUKXAUjTlkK9k3Zy0I3+sVQ0hs4risPgoIMaBGC8RJOCy0Z4p8sNfgLmtiaKpv3GS5hqa+dA
GGBdpW+AQ8WvQRO/ocPWHUxL6fmKBnYdWmiM8ESjHGroUh/V2DT39QyRBboEtkPWojmJoT9ra1aQ
fgUV/hAa5JbSSOPJ1kePywKXdCIUl00r57CwxkhAgPXwz00VIPw+X5ziDMVwPUucjKQwiTet7eKz
YfR5BfLXChjO0/syvDD1OZ06PRuCoR7HnKAELl2eDBhJ6Mc0nmF8AVOFMRM1cVmL6wej+QM0rUsO
w6gR7inF9oVJxulo5rNdBne24ZI1oog9r+ur0YyGS9kqauC229y2zR55Za7a1boX7j2cDi6frTC4
8MPhthSD/5y4UY3RqHUDbtQxz2iHM9WSfreJZNe1fD4bZ9S9MEw8nQt/tvg8uxTwz8PgztHJhGvU
80rtArPErr2O1v9i70ya7MTVrf1f7pwKQBKIyR0Au8m+d5MTwnbaAnUgGtH8+m9tV2en69hfxZ3c
wY04ceJU2SfZsIX0vu961sqLbKBFUrNfXOS15nS6CITRjIF+TgEXvnp4qCwtwL0TKticYeyMrmuX
eZKnONP+/TLMIItCF6WMkOyVwt7pmJr4BGJQzJBFUB2kVf21mqy7byr5C0n9H+6KAViABhpFQC9f
Y3FyCWjM9YiLeXSHKD1QZw9tX+Dt/cXz+4FdwANk0JVpAhifAh549QDDVK4CiDlW37vsxlb7pH+q
zK7D4WB7zMubPWdnSfSrNf8PN4hNDrcI1Alk/usbbPpMiLBCX6SH2pb14MK3SxXPhVW6LatWBr94
oP/wjoG7hOEgYWgqgP68escwpO31imWSKSExrg2HfKLR7udL5J8vkiQgt7GHsPDEwXzzIrMQ9cLc
4BVLI4wiRqdYSWq6/uIb+4dHl4UpUA+wgsmJnPr+KhMU1mEmeHSW3xh/b+cXWt/3+s3P7+Xri/Ot
mIt1gctgF4QjJINf4xV4ECaVUZ1cXBFrSGVSvRma+QNOP3A7+pxIeQuoZ09C3eZ6qvK050clk8s4
nQqMnp5ii8ccDHQtsja7Tefh37+NeBHBpUI+T4Eavtpb6tEMbkLVgPlTZI6dxcjer50960HpFASc
0fHnj+P01X3/NGgYAwhNsVjBMLNXu2c0p6SNO7wlfJCHTKyF5vxa9hl60fU4r+N+rfuPo9Lvfn7Z
H6nhk10mSxgLsXNn6Oq+/7KTeBt9lUGm6kp5tk2FRp//pTpvjk1+s+SfYaHJp+RTn593RfaLV+bH
dUZBanN0ZjTCbsNeXbpB5eFU2mPT6cwBp1a5jHXBhuS+GvkvXpx/vBRlMFhgR8hge/j+LhfrVOxP
UxKDkbSCIgXWJYK5OfnFGXh6y7//FnEYgUrFIZuxCCvn++tYSG3Z0GEPJ06WkIjLceqgbW+7ua/L
dYxO1fkv3tYfCOcURQuhX3kheKexCX1/TT4npA9SVBVTREm+LtFhrCN1ar8g04dPQ6TeD+1wFNBU
XIheWWFiSMZ7KaGj/nwx/XD3NMEWfzKEwXyR/HCC+SAaVnUiTliDuyV37RwWkClz0qNF1Ef7K8PO
D+/M6XrwhKewsKQo4V69MwwaW9i3MRSLnb4dL7bclSAN346Hn9/WD4UNLnPa2U9sfUay9NVWYBMM
LxL0LAVG8TaHxSQtAE3ddyx4RAHcFDz25f/sivH3X2lmCTcxBMQi0S+9hqNBB9BuIIAE416aX57Q
p+f0zaoFh09POBJwYBSnOFterSBgUm4UHKd/107nUVJdk8GUHfpjjGZacYy3bC+6YF939PcF84fZ
8fb3a/xu3vvUdmvfiPqPjIe//vG/H1uD/3w1Gv/9L08REX//0+Fze/LhDq//0uk6f/2tv53IJy/j
X0blV9bI33Mm/rQX/ps//P8zVX61b/2VMfGDq/LbqIKTXfHrX//dVUn5b9g3WATzxumNzk4VxO+u
SsJ/wxAGFpII1siIpzgo/zRVpr/h8EwSLMzf/xBvyJ+myuw3bJmox+HHBDWK9+PfmCpBen6/RrAo
ErijQUOBcsVB9doImI4TXjeU8KWrg2Yr+n5IjsIysEIbwJm6avSxasE1lyJ10P46DB3rI4OjrX5K
s9kveQj5qr5LI2fUYwgLz1i20Ea6AwodEoPObjvok8MwdtdmDDO5T2FXEIdwHhaxz1xTJ+e1ZSY9
T7aB1Emuhp6458kZut5XbddNBQtkps9RNAf0DV31AL+Z5WKkwLFMxA+1rqP34WIquC4U4Ir92Adh
Aih71tXVJCY67/osnl0peoxj827SYZhPapC3vB90k/cNXGwYKuhA70TXT+tTDQlaQxTetiQPM4OK
DGPNUewyMldfZJLAIgAifWoPHlJBAgXYq85dsSml6s6BBKBPcUUns1udG8ckT9qmDcISDtd5Pmei
qlcMguHJLGRsT0O0afW0nCfoAYdsXaPHBupilZ/66aY84fbXwWat21WTmuqcYHiP4V1TrzeDXp80
dLEk75WVHzgQhJtISr+WdlLEYhTek7ngadC+gAgPoK9RyQu5dUlbRMQzVlZQmprS2dabkiep74qe
NVG9HxzqCjyMRgJviLaWdgdR0y3YQRV3T9RFGoIkZJ4rr008nCnMAUbIQsEkvmiTTvHj2IV82JOR
d7xYJ10tO8dNCqHdD81UwBcJJCmtMn81C0LVno0U86dFKCwnISbjwBoZXJpaQeqdHvoQGooYOnnG
gMk89QKUZdHBO2J2gsRglbrKY+YVBEN1X6djOBUOniG/4wBIXiqVhvGOyM7KcmjJWF9iLmfvazlu
ukgdqT4vfF3fmLXqx52bgnE7yixbYR8yS2RKqoIWOhczMVTNib+HehYcie6hN1WWJ/05pK0lPSQC
KkoZTz5L8tUvSu6t4riAIf28b5IFw2mUmiI640vgwpJU3XZSTzaNJeZ81u+hm/L7dU7SK7J0nSuz
NjZrQUSHvRo+vhZd1TwMdR6bWt/oepVJvlXOvZ96A9Insmsb54yq3kCgNG48LOnIMaumIpzyYa7i
9ArTyGgtW8iV5gxoVPchxgEsQeGI8QtvJikwPge2glJqqN4m4woFDTbr7mmrGQTzinWwLmk/ztcS
5WuVd5FW8LyttIKjBejjXQPICVPYemTAe0GRVPnqBCe5iVfIXZCs+IcsEpgdVzCypXnr2+b0uifD
Qxho4FIzFOGs1CMW2d7H47YWkmD3uALRO/gcjp1GlaYLmCskhqBPmUzjYUc4xJxi6DOAKNNAAOf1
Q8BVOc0YEVcx4MKy7hn0fLfQ8dY20/hRRSZ76ahLQbGFfr5yWAojnq5KoAIHIsIcHdLXWzQl4JSF
iqGWQfRf3yeNS1kugibBoq6T5FaHtW/LOakgPsktq7AXQt0ecqUllALZkSk6gxouuyLpYdDKmald
g2nuHNK9lPgEwLI7k+VLPW7XEOQymE8nmxC0PwokCckEiG0W14HIV5r0Bo53sdC8JZR/otqNpnCw
RlrIbx61RObELMq2GwwevMgw7vLYPa41hTZeaAIEbd8EjdmLOok/OmZalFUzJe/SFpgSGtspvlhn
qEU5XCrDPa3SIMg9Np01Z3I1bUkMtsKiC5HDsbMVj+513CRlo/l4P4SDXwpB0MEeJDAk3GqcVsCQ
aLQdp0oC5lthtvMFOjMeFWybdF1q2FXesViAfbV4avAXKBLVBdDsQRR6pFhzZFYgBPlGCoxI/S6W
9Y3FSdXEJk+iqm5y0tRP3dqQs1R3eb3F8hq4pr/E1yV26xjeKXiUbupUlkKBiuq0UPdLQi+0dO4W
Cv492MbmZjVpaXlw0fb1QzViEfRNfDGu3W01uy1vhgDTJ+5vycp2NoQ4qhjkw1l0oSmw/7dHU5MO
9p4kKufOubuKtcC8wrMaVEOZDQbgAxne4IxT+ADVfWq5fFLr/AaYY7ML8SGSsC5UP00vIlwOkYnf
AP0+q5o6zYda4UJVchNV1UFl7OO8zY/pGCRF71d8I1XcHX2ynaaN6mpzstqrITg0m/zYJuppSAEj
BtN4DrmOfu6iZb9iM7kaUx6cL2QYt3IKjXxHRQMtGyO3YvSDOEtmaBn4CZGqmMi3lZ/wXBnC4bRa
rPe8miZ3rHtyraB55T1JChPSCxx72OXauPRGxDfx6vkeSBJQ42hVYkc9E2UVL/wus0l83DaU3XlU
B8XCwg9puqG4TzHmzwdQ+QBTLqq5PR8x0ywI+A46rDe6MXd6VJeBX8cgn3umXqaeXanAyItNmOUu
tThREreoEj/odg6Wazk106MBbVpGZg2OdJVPc9/YK3ztPuewywJ6GeKixl504BZAQOA4FIaQ3tU2
aw6eJSsDhtAfYhukR3AqT85oXVYpTt5G102p5HQR0+qxj012dFRdAWajD4P30GpqE91FU8xBa5G7
pXcZEJnZPjMYknNuHL+tAhwnWxKup/wFiy2yvx551utCZQ36AWbt+ODnzn5h6dpeUt5GB+Xrdb9O
YXI1Bkt7E/bDSwyG68wFtmxXi30HrlawJCwesqJe3OehjW6GWMZyZyk1R8CL7QNYGYhrS6ihB1mb
r9nU3EqxeIGXSvvr1tVp2dVG4XQF8pHzZr5VHXgjUteP/VK/DbsxuItQqhZZEoPSbLq31eQ9CFnx
SevxGR0HSpoEs7SHQITtYxIwAt5akRfkOjzJ0GxP2gBSCUOK+mWLc73OPp9p43eRmQ/EZ65wtVZH
0ZFnjVIiXyb6MgWqSNIwd3GY7JpMBA+p1Dj1vE5KtnIIpLK6xNRBnS3jis+fomZt2kuoLOxab9YU
MVmuQPDjba5ZJg+pIuRspNlZoJIhR37DXWvtdrYGXVtqaCT5HOs9HLD6dkpE/MKIvq/m7R2w+C/N
FPi7IJjXx5gp+SxGF1XTGbAdGM0b5rYGN2+7+OBaOtgz2YZsAlfsBgixeJ1t9bEK1y4Emxl7dQWn
q8eEhkO1Z1+caDcwtbFqKCnnykEtMhMdhvt+hIHrPDYg7EhBa5/pL5ULYg3YoerncZeiVNg6APih
tPba9bzOzF7PqU9xvKpgaD953o9ds2vHNVrglwf7bdU1A21JKvDpcJ2do8mbFgGNyUTM5ZzPRt3J
mozugTRLsMBabgRo/dmgjiLnybr5Rh5qU7cRfezhhI+7W+Do4aIuRduE1t7CgKH5cOtVFiv5oXK9
cAZIn6++hFmdglZs0xYfaeiS+ZkKYJquHvqtiJckciX3NFkOE+mSe5nNKJcho+l90vEZB3niGQ+v
+0AG5Ela3r3D0KILdzauo/Bt19Q0sL8Pmf5VN3v1Zwzi617121b1v2/gxXgY+8+fx6sP3eu/+b+x
qyVoLP9zV/tXmtXf4UKIyECE1p9xQZhV/9XMst+iEIIA/OEJBtmw///dzZ7Sg9BchiB3EE2SJuhB
/+hmT9GAGC3B+4gZ1ldX8b/pZhE78aqbRbTdSYlAVw1BDPPA02Tpm0F6P3reCqOiYkmg+O+kV+JF
Z8TXhUm5ugoDLPJUjuq9ScH2BunaQ7hdVfCc8j7hOy1F+zJJsCyF77R+asa5+oglnNKyh7XvtqpS
RYuTl2ErjTX2WZwKtVj3SwsYPlCXGDMpuxe92bCpD3DpYFPelj6XPRwh+JmyAh+TRHNXhlk1f9Eu
Y08gbiX0U6seK+txwtotSB/adKbQ2j3tLo2Z5kezjs114KcVmI5vxOXUR2MCBEzDRYRetCqjAAO6
3LO1fwdUGTTDmPUZDH9sEtf1ANNHkSZD8jR5SJhlH1i7HLZu6rqLyC8wOdEF3Eg96VblnE0desp1
Vu9F071A+VOydIjPOE17+51D/apzb0LsXNRlQhWxmMNnuq3kKk2W9i2po2vNLKt3AYUZCokdat1z
oFfYB6dR7OO6HcuAjw7kk44VqmZkAZxo5dUnxbCE4XmnPVBRglbnmelQzLnVfs1yjjCbILeDI0FO
aq5hZxJWjiX+rcNMK3BtIU5u8aKO9PzgJZfXw8DCGxJis8DNAabIdZtJOKRHDLXKGpYhMK7DzO6b
wa7PnFcmA1oU0yWv6k2OucvsvDO6JXW+DMkC5L4Hp4i4q0rmhG2Klozq6S2tEmHLeJ7J+2qZs7XA
OA44QZsCwwVDGH/SLdDWEC2C269ZpL4YBDi+NEAe3PmGIURUKBskn/G4sEmGWwD8g3aqwZVWc0bi
BdPJLpvMx34dMK5LQvTwO7qgSc07KbDZ9w2tZSmTDP2XkKq/a4YtGmAfaAgrRcirx5Bs7ktLWngk
KJiCoFBMDY+028yDTjVcFIHE1p8npHPn/cb4uwW9AD2IYQr749ct5P920/8C/P6z3fTbjM2vM8LT
X/99K2XInSXIvED27GnrjPhfM0L29zaK0FpMqqEjQ/pE1gf2m7+20Sj57QQ5fFWakOgFmfnfbKPJ
aS787dwYMj/ysiB4YWQJbzrBJv/tLor0o0YCo2HYVEAY5FCZkCUQiAb0bgZjwa0HsDKeec+9uwrs
kmHWNC0ow9YWoz8Avj2BYRCjgy9dUIG7D4OuupZx608WtQljhdNZD/pvijL03V3FPvFhxDFPhAfV
DtFKdRcMJgyXE2g+D4H1/g3sbzUrGkQNrZAMY0tLmsFDkSeQQu7GMajf2W1jU85rfmokQh7CzLOJ
bgUN28XqGMG/qS/k1tYoKYd+eW9MFvVlvPRgo1SWujVvnOujPWNBonfjGLXTPm4l3BEwElUH4yAP
AwDstg1Osh7VHl2hwOwyvEI035hu1H5QTUMes1b5i2VU6N9QaEn8b/gU0qIRK97XUThsdXyYtuNm
UDzltFpdcJ62VaxKOODIg49wk0W7qg3NU9r/Qsd67YUnUAXjENpsBvUcCSuvRXtdRTqcZIKBY5V1
YLUBdWEsNxszH5NKJ3cSGyTmgoEpx7hOr8MhHBOoFQD/4C9J+RE/2N5+8xb8oRV8G+z3agJNoE9C
3ALlAeKDwmvyarVFuhOmnjNeGowtr6MgWcqTX/8o62U8j13F9//6egh2gCQCORbszOs8qRlGWg0K
CddbBlinxr55f6JzSwO8/1MUy/4XMtPp83/7NqFROM29YcRHPRKjGv3+bZq6QfE4o7zUAremAjGf
03ZGcFpT6V/c2knu/OFS2EZi+pWbYa8UrQF5HwgGJoBOV1BwFn3ip2butj/kHZSyyJz8h2/sh8tg
+4H8gP8+oQTZV03hmyqrmcdWbqJJSxHEfAf/L3hWsaW/i0j/8Srg176/nVO+DEMxlyFcDJf7gQNS
80LnZpspGPhq8NkuWVgA4y1wz/Xck7FxT1OsQ/Ze0yAKDjaNmy8oCGLYTaVDMhGYup7hLNeU+ZNH
Vi3LzTJDLgBiMdPqvcToAzGLMcB5C0dVB55wjc0Mi8ccChBvrA0+Z3BamatMkMAfp2VL3tI5GFeY
GicsIIVNErMgiyi+AdDLYKJiG9lEihkOFvO+jiiKpaIGrmr2XC0C2x1G/ieuGY6mh5kE2CNGuLpt
KXXcgcUe4MO8s4E71aszSA6MWzBdMuXGvOgvAOhBgYAeMgU6hhEGGzBsNIYBGilCU8P6q6oAzhqh
EnTAgQVMuLeRaTHut4k319FmbFTCxC6twbBUpdXF1IKXxM8wKtyJMILN2qdNpy26rHmtLo0Pk2bH
nN/0dTWHXfKUmMp72MRGyT72arB6h+lS5w41HwZ7Eba2eodhRgBJc2ub6d2CvNFPmww1cG3VLFs+
uKgZbzeIOfKNyWrZ35HVTf4RsUadPPJGtc0VAM3O54O2Rk9F1c0YvJYSEGu0p7CDTcdx67y7hMUS
bIloVirvXTy6ThSkr5vrbbJBfLHJZVo/QtoC1JyN3GU3fkqqtXSG9/UeV+QwNC9dw8utoezjqrS+
mgOxzjmsFczn6C+H7qUCYyzhvICKOh1ZsGaYjiaw0DNMcfogeAomnaVPCm9cWzTNxPW+bbaM7mhP
zPg01FNLH/wW1csbLRthd4iLW5bDbLSH9wLuaX+j3WYR+OIrp6t3KM1Icg64qwdLjUm0fcZ3AS70
WI9zGokS82cff4hhqgvGAwZ6xn0SXKfzXAgxIPjH8qyZkZVDfJBXpIniMvU4QEebYJbLg1mJEtMF
by80qTimz/00rEeVBpDXMEBPD0M9k+TQ0RbD4245DWlHfLn8MPiJh/kYBCTdjfjcyC+0YBr3rsfU
+Ij5UPt+jbEmy21SM8xHI8xyZTi3GGHoQVTVrlETwysGOzDwyLmvxnM+Ui92uoPtbkdDMP15UvH1
ia+VuAwt1Xy3wBmDlAXcarYbYVxNcjbT/myTaUcx018gSQaVRXDNhPFDDUMzWdRhsSsA1ybr1iW3
db2ucFqSUFwS6iA3ApXx67GGxeFCjk1sD1a57BlmdNHt675PRRnEsez2zjVpcpYYV495uk2n6Qta
0SQfMRM/DQ+5vYLlIxM3fsQY8rGulzg4tgR+oCJSob0ePEs77Eddq8reVCd4GPcLu2yAw4XjnMGA
LZokMdvVSvtOI2piy4jBR97gL0nxyXWK65yEsLpBK3mN9EN4AM2CyXR2XHBuYAeim+hRoU/wFgt3
7kiMoIGpnKzWYq85nNol4JHO0EMz2yoSv8CoXh1qIAuhTIMsQK4pyk7yGgq1iKytm17WZT1bepPB
flWiC51zskXBLw6116Dh12uRFEfN6QhFefvqVEOd1uGVS+sy7L3dE70BwccoqKRxy96sDElQHemQ
LsBjcV3xINy1S1YVvaq7s39VOZw+CLq/U3nOQdH9wKVkLhzI+FWWpSugZmzi4iPFToPkpgpE3CXv
gX7/4kG/Omsp8BcU4gwJPjDEciA431cPsrIRDSidywjpReVosW/ppVW7n9/Zj1dB+YWhySkpFFBn
9qpG8QuUFKR5QB6cPfz8HdB3ZDP9y4xV3AtwMKitqNpP1R45VYLf1A2uRUWhTQOBuh7Du36g8dmM
bJ5PP7+X6B9uBlgEoLBTBA9wpVN7881lcLqNSGmDOaJe5ITmhCdIZLvuwRWo3dSlWfdmMeD4z2JM
auEPC0T8PGIHzy5t6/x4CfoyjA4OYRAcBjkEm13X0mX+6eef8hV8BJoKjwCtGvguvEJ4Kt9/SDLE
8+K0xvjJ6XTH4JNH4peO9qAecUKcvHV1QP+Ivvm/3vu/4lPb8J8nmf8UfX/qwb/+3/7owdlvGFwm
IHIQXxVTLNK/Rpv0N3qi/lC/I8ILCxd/8ieoE/8WofJAuA5H2c1I9l1PjijQE/fNToUyftPMn3TS
HxX2z8LPsb1gPXxT2uOAQdoyRafNSQRc/fUmKBCioAdsBbl2ETy3sLCazw0FMVvaPmXnC4tAi/Tb
FhZxECPRIiLj+mZD5RmdeRm4DAKl0V96E60PAjMjso/pKI8Tj+UhrrcBzt+wxh6azhVCXxDgcOww
li8Gubo2R08kXpgV7owPwZPdUHb2SCS5gLI2hgUhVf+2kS4tY9sELxWn4X3a2Wg/M7D0eNDvUbUi
D9bAnpVxOJOPtbNkOOt6JT4ssU7er0IhU6NJ9T2PVsA41ajUmRJggPGVXOJzw+KZAXdHUFwXsy8C
Hk9UFr2fSzdZessq2IkJmOGiq8h8h98HgdBtGLfSpiBV6w8D9RPJfVbTwzqMcNehsUT+djRuRp51
zmz0ohqWlJwrpZF7h6Q4+QDiLfYHAlNoV6YDLDhXaB+aQ4v39krCcwYpyabsXYhRyfIUs6m3Z1sl
9UWKGv5zVScamSUaWjUi5DH+1bHTT0vdNgNyipFp+mCkgFx/BNdTqU/KtQrnvfFq0uYN5psr/OIV
AMvEHTjfoDF6pDQJVjKAIVENOdVPzn+Z6wVbLSz+Ie8GQBDInqmi4HOUIWjoNnaMmSTDFybibGeb
amr7oDR9z7vwajGMK1OIDUXpdYMiFtZqLO8A1q5SxMmkMOSOI5tFV5Jz6/LNT31ThhNFXnxsw+ll
nlG75gYr6EpLNvRns5sQU+GZbPkl3wZEgaeJ9xWCqpbkbcU4Stwh4c6XbgPIk88zzz5ME4MLsGUq
u0h7z2Bqheq/cYQtWuSvViC1w71fJtFgycdDMU0k1lcj1dTfJxTZDgU1gOuQgFavO/ggzQrTU++z
t1mm+CN3qr1OOllP+7Ae1R0m09zfRxJd0dkMAnN4Mwc8eVNtmXypQ0vojWt997zAstgctjRALbY0
WhQOY9a5WFrDbnmXYHQ8dYFpSjSFqn4a5lQhIWTiQDHm1M6fEijT+HUBqGdxkuqUfxpcLTCw6k7Z
VRDAt7mIuh7hGgiXHLJzPasN03rGwKAg6elii2F5z5Fh3SISYGniZtdbhEyVgQXGwOvIL0ffYaSF
vEaW7QnUi7vOTPETYyi/y6px63s7eVzbW163xYCo1r2fTbY7ue+ic3i1V5SYmNSB5vHk0TVrNRQe
v8XmSZ7giZ1r1/qsb9c5LOegE2g1xeyWHeK95u1DyOceKB0B+pfX6Sq681rCUXcE4VAvxahJKOFr
HJGGFlUh8sA2xHI92rrDwK1dsRaRqOEiegOcDikO4UrSl36xOikCzPYRujH3iE2A/jKedbxJACIi
fnItawetcGdU4vdoZ1DaY0KfIUsLdlB4DqOk/tApQ48trJg3QPA93RsbqPdolOWKljyjARJTohhf
ShXNwwVoKrz+Mm3o5w2NwW0XL/F5xmYMOVvh5JeUL+G0n3ULwG3M4nUqUiQ1NDiKddOeA8HuylUg
sqVcAFccTThBMF5bYd+gl4vfgRc8hfZsvH2LEQ17v0TTGKLLShpxArRml3esGiYslVT5vGsQ74KR
qRD1jiAaqi5sAxZudXQSFwoFbbkJ4W7QfmRvA2ysXT5jusP39QjHbJt2GQw2Lhqrwpyax9zAuY/g
Iek2GCsWNHnwFZoRhFXcwPdZrFUgyB5NV1taP2J4cwG2SqRnsctaUGVBQ+FcGzDOsSMCMCssnwOZ
5qoC4RMYVu0xpqi3Iqjg7QvyZl6jHhlaPEHsC3x8oU/gSE+QG4HtAyUmwjPQjz4bJ7JdEzuC4Ikp
DsFl+dLItpMxyx2CuaoO/g4ENFJEaIFZ8yBkZodnOuAlmTeaXFcUuTkRBCIbYnXA8AkcDJEhAYL7
FB4u3zVkkqkpl5Qi7cdSgUrcEeZ6dYaUDichJ7MougQztMThrpki/NxdLTxa0/0KfT7HtgMeLQZ+
uspcK5AkB07RX1R52E9VCru5EMs07aY6JfOFYTWE7LwhKlnUbUBh6md5RzPjdnKIgk8Mo5op72ex
uEuKyAA4km30zGYMcx9WIObgOvi0gqTlvX1oHDLbYWubICDOhq1JEVZmRF4DBMzpsiIIxztKGKPX
I1uG4QsEteExQI7Cshsx5EWCVt+Zz1Dg0e1VUTKMBVhChzg2ssTPGBrU22Mwz8ZCbUwVAqiCWLGD
GYB13YCzaroLAS1PFXIJEYiGAMlsA+yBYRO+Ag0BF78yYIjHgxvw4SXiScyQlIPhnr3zhnUBggr7
ZBtvxm2KNIJi4cKHFGXmYZ9GKPAxAHN2I7mQ2I5JXI/JGdnWxFzWsJ6ercDE5svZTIhqjmL8zO0Q
WkRTID/LLfHthpQbUixIkVF7t9gEM2lwk6SMGx8/i4GkXa6jrcsw7eFyuJ6heh35vPKbEXeUvcGk
puXYVMAcXWuQzfQcyV04oRScuB78LDo8ezOqCHoDn0N2E9pUIS50QhJRLk8V2achqkRbcKiu77UL
BLwlQCOuGQLoHlhXVfu0ptg2+xWoQZ3TWBrYP6J4ip+jpq+706ZD2+cWAS7vkFLSwIBzIkHhPcX0
8MzAyt3cZV1tH6IVuuebQC5IHCkCr5B/gZ0DwyPtknmETBxl/ReKUL3+TcuNzXatNL4uBwinDNIA
nNnVRa9hBDxIQD3bHk5tRG2M1TB7UzR4I5ql0I46ci5oKD9BU026HfcCuGyNtbjeerPU4nkCBvss
MVkF8C0TfFAJXQLfqbas27UoeZuzlfiBPQobMMQPGsZGs0dtWMEEvkzLvoMrpbqcsirZ7iOOdMpH
RHeFcre5NkubHHki8TPgjGm4NSuzt+Cj02epaeh2y6BicpjGBkvFAiHpd5jwYPI3Y3gGAsluM2R1
Ev0/7s5luW3tSsOvwsqkk6pmQpAEL4OkSqSoi3WxbEo+iScsSIQBkLiQuJAEu7qqJ/0QPe5RBj3r
Yc/8Jv0k/W1Q8OEGaVISdh+fHCeVsi1n37D22uvyr395zuJzMqnpDbQDxHJnaaebLICgVUkAL4he
zWFws9JOz5003L8S9sLA8Wwv1M8b3dHavgSEnBKva814Clrr9sSDHmIRs8XGvJoQVIq64WLQsHTN
7sHD0TzD7rJvtNWy/pPvribv61rVu+8EQIT7+kiDIjOeE37uR7DiwHyj8QTXAuzhyKY2WuAEiQdD
5NOYQwPeDX+qAaOC/sFOkuSUjGq7OnABv03fT/VZPH1PGTcQ02Tqdy/WTlqN3qVdgJxefUXxJBXT
ybsRiSxjNIv8RZ88TefzHKLR5amH0LSG1UUET1ltBOq8l07T5Axz1v3SArZ1MUqqFtIMeugLAKTV
wyxZaOcLQhT2BQif2cc1VzU9a6QRIurAa9JvsYVLuAxdOFed2ocRcb33IVU/47btLGs9reYkdUoD
BHPUulrTkfpGM4Ywoom8VJc2Ut+xKD0AX+10u72ouwRx3ar6a6tNEm5ktc6oFGxere0mcSIC1w17
7E3JqEF6MB3B4tkEYdxvex7kgvNFo/XXoDqdXAXxohH1rFFtGcOmG3QW/eW0tjL0cJ42e7DMAP+M
sRdtqtrdloddPQrb1+Td7ZuqNiIiHkQhqTYYGWs8DUHSvsNK7xpEuqHvASYGm2tj5ACaA7ON9zBp
UqeNlbu4t9fLdnKxju30rrVIUDyp1ZxckElKEH571OoO2nG4epzWYJi/9BYQyPQiIqNzPHetDQxE
XyagF1eJ5g2Ws7Yd9OYrFPuR3EgxJlYXxbcNSt7aJJ3hO85SuFsxjrUrjPRl1evrNJCJTtvzyKO7
R8vpXtdXywCShGqQkD1Yr1D+2BiIuzZvNdZ9WHSa98AT7NmROJVA1mz7p8/VwC0aflFXlCWnt4Mu
QYjdMYfvq79aucw5XevWEJpV/1RQOwCIbFEltsB2hlILzOwaU2N55EwKYR9xJKIZAC691my1CEvK
ERWeb2gXHVT3zKtBH1b1mmejKI2+bMUNnj3z7Wzl7iyw6+OAU4LTgrmgXojbxBN4Yt2mE/TBuzTP
tBZOtD9KrQ+vn6VBBRyNx7g3QKfkvUw1O6ChAjY8WLf1Je5JE0Nj5F8dnqUQxOXEiMNBQErwglLR
dq0QKNNXHZy3CcCkWgvvGTUKvze+wzx9oLTbCo7kQXdPjnJ+ZmxrREoAOxRma3Tw0+PREvIhv8ul
SUnNDWojaHiOyIGIIsqS2KlRqt1uEVkjpCmwFNuSCIYg4dFBEkfgqSZnQVXHahxBltirNWb+YEri
8BiRvRiyMGW7BuQM8AblP3id8pRdrd3lgQOwDPMh7L1Oq3Gn2/biqmYnrfvaeuk9ofRX/RpYsOmR
e1eIIwIZQddq5E6pICPgWYypTpvaiqLytdefNru8mlOcii8rXUC0CA+gvai5osQ5CuFwOfI9d6SH
QyahTVMuwtM4V4VobtCCv6iVNokjTF1wmRbJWUJFkQfLcWhN6kdYzzUh8tIZkw5uifZcRHXJBhSv
RH3mzDw4b7BtFg2enbi74mGYUJr/oC8A2feZvw343tY/deYdaEX1kN5DDjCqvx6+NDvixTpQchpx
eXom1DuFb51GtUm9UdW9/iTuCJsEsiP7VAMcbfUpe6Z6AyafozK95ytTDAy5vSZUvl6UaYduNesp
qNy+Huv6Jy8gG6j1nUlX905dvwaBatfqrCc2/CpdyzvShGPnO+u1Ro0edmA0sG92NB68acIHtj2K
f8gY1/S1HeAUdqIv1IThwrzqdKnG1bUad4nOci2m6xaEKo1aSW3VpA7ExT+9SiAHmkKO3fqbGwFC
DDtEBo9MWNBKYkKeClStaBHb0YsTzrqT2K4nEG4GcZt46ERfnLrH9XlBaAgbU8nMHc1oQCCaLugk
vUPJAGxfMKRPYYkKuxPtdN2MbJhJl3VoOWurY89UQWA2E4rpBOAW1FhhQppaLMBbzRyIThv1zy4O
608rlB8RE/00sYgDUfDBRT388QqSwqQkkAT1CFgNIEZFjRDp7XA5SUUivrocjwjBwOGQjN16a3Xk
o+2ZKOtuyEXUeVOahefRTh1tVofut59yLXpkPKFVoD6kN6lPj7U/2DMV/SohimnQTpFOkHVZtS9r
y7Tm4AT0VqPZhNI1NuVinp52xe8OH98OOIvzI8eJWaETbRVaXZ4LdmN9EsEN3p812JE2A95OwHMZ
L24mc309eTeiGekH6qNGt2sqX9c9TV/HlA+svPXofNGEQvMGUIC7HBxe1u4JNEXmkyZ0NdH4qVU4
bD9edGaTyCFEvMatG4HFp5olmQy64nevn6qB5OAiYyTsHLazdu0VRFh2X5svHtrJ8mHhJQ/URz68
fhpMRd4uTYODtLijiTNpzsAGWf1Ym+i4nq47oDS2SRFw6L7h8ICkCwplJBUhkj+pk4DjXEyBSi8j
yjltB2JboHAr0CL87vCudq+8oOIRqHdQbWRzC1MRYHGh1yLTj5U1uSDazP1eLZI17EboGPIb1o0O
lvLp8KwFu587j7HN4wDyHgFpF18mYOvVEXWaVh8N1wWHhK95u9ST5H03ipFT217+tHbC5NLtkM4B
iOMdsZT3SGcb+aRaHiQaD0dBOnGWl505fMa8/4tZ/a5dc+uf4d3ENoBzmQUd3u3ubGyVXDwgOlru
NYs+BjRbswSwaLU3D9MHOMkJfLfihxfogt2JSPXBTwOqlJoBQJuy3GgTUsAUfBHoXK+ym0Di7E03
gU5udZhiMMc7NeqI5GniWbByRIlAf95aL04dvtGn+YpGmrb43WuProVd3uT02M6uCbOM447V0GYc
XTR5J+62V3PeveVuIwhN0CIaPiC1IIWDc3UdC3hOnpSeMsEV8dax12j6VxM7Hh/ez47h0KLUBTsQ
qx8/DT9MPjodugR4aQl3TJra5KKpQ056fDd7JmkDxW4BnGh2dieJ217q0GN11KOThj9s6nb0hRvV
PHv1VugTK8p2aqgoGIPkrXjLYE4maEUx2KJhfeB98SnoTI75tLsi3RbnVQfP0kBRFHmhsG8d6hTi
EVzmUEOcNtnb4jxpTjCfu9MIC/7wpvZOBzVQFy+9S5Je/HwrQjJKI3/UTgmV1oNl+uAuV+vLeUpg
wKVLw+D1UwHPwZLEmYYorCBzjfk61UgN0E7Im45Wp27XCa5qUxx3OpN0jsFid0SC8IMGBhBfrwaa
uOhrgjntQhPQrfYmI+rIq/h/g5qN8B3e0s4sWI1NwBAoBuRBbxZEorqehosm01AxibhFRFxPadn1
6oNjFg6N6J94jnmz5G+UwJ5cbYXTEYTHtWR5kQiAHl661/6ILdmcHwl37BjhzAaIAyWEwY/pWLix
q6QRdVoWXQ3azjSjTQe7QMHqx1RbkG+ftKyb158h+FbwJLwU2HWF+Wp0iZmTUu+Kli5EJVvQCa26
sPC/ehb2BSkT0lBr7NhMcHjUAuDOo54NbUh6VfNWuIOd0Wp+tA/3rkx00HSUJgFpaeLzC1Ng60al
8TqcNR3w0XVvnlD2tarHtB7owF7eO7yljE5ry9eHZapTE5ZZlwgV+qIoF5FFS6aqzd11he5e0Oj3
xhmN6o8eaAR4khsjGwjBLHg/65LsBB3XcEGFwzJxnoY0JuqtbcgbqLLAVu35VH9d1VIvuQbfEBHL
pmHCQGunyW0SL/TP0Kc0qIay3ei2rXnrT3Y3JXZAmDF9aDXjYHY1p7XX9Kw9p2iQxG3T+UBKm8hq
bOk4//a0NbcupxGZhgvylz/NR8vG5J1H5fzfIj1e2Wd14WU9rIC83hJTh+SA5A3sttCMRw/L9axj
3UY00m1SnFZr3M0tuA5OIwAN192VRuFMp2mNJoMm7K/ElakhMOnb1fJ66PJlHTqb1upibaVB5zZ2
Iu3zBBwvaat2QtDn8OfY890JO+CSE7vjYS3em4hCXoB0kDgkFjZsNK36JJ6OyvHu7exkbynZRQLa
8CDK0kWB9azWqvM8UO1OOKnhrka3fjfBhlxWR7daOltfvm5bVMDgaAGqEpytFGYUJgzCpUuISK8C
G5lGX1ZdoLKuv7COVNwUD49ZUKTEV4mQEZsuBuonHViVdOAevXDVwBSHxwI0f9UbHt5L8bFjFlrS
dok9oggIyRXU9ch16klk16AN8pPgCug6bPGRO8ID8FpHHY09W8JD44Ji+mMIF82F6WSWOEGQVHvJ
kgZ9gcezYJG43CiBV2EVIRDjv8VCaqnk+mWF2f8PTGPPG9lLNfYN2id+ehc4fnxPlX/sxOmHxAzT
DVnZi/5RjhncP9BbucuyJWVLOTSCa7DiZGz++XeiTBvzpqMJlKUb+Nbz3zebf8QSoaJb5CrEL+CP
gDC3juZ7mz+8r102t91xDq3853r1Fl6yBAt97dapuoQFCxcJAOf21uuUbFKuWSOIsNk6Rt+va+u7
5aiv3rv2R7E3XnxyeuIXn3fr6+ttftzA8ReVqL+yve8QG7x274g8HAZ1jZyOtOmG/kcsfTB5Il6c
/fq17T3DNJeTea61iFjDe7zvu3PrcQjo/06NcPaL1+aln/8FquGbXiQc5o4ztemY0T7F+b1/kCuX
3Z8/Kw0B/eb10omukJCsE3EV6O72N4R29n+8T2fmZi0bdSL+/JenIKGvCRrccgI/U3RbP8wV3/b/
/XnDu0v5piZ3fySrv9f/fGuXpAdL74r3dmuT0glsqDu3fvrKI9gUg0o7zD/ehWOGRvgEeDd7OJ/3
JPhC//y7E9cyQ8egfD77mficGCk/L+PPv5NWmYnnZqqDo/pW4EqDcvXLDtoL4mhp+NKwooCg9Lim
7/j5MFkpA7ew9KBJmPhjJx9IDCvoSssO27eNcT5K9q14L8qO+dGcJY+u81QJvlRi26yANrKCfNhs
Et7rspOcml7wFGIGPVWOz6dAAvtIdxgE0ndtKhCWfuAFYRDlByKORycaUfZ4+gwQGm7lBEjDk+F/
O6N85GweLMbS8xgzs/LJDMdmPlY2MqZd2ZHpavcYgDDMRxLjtrDkyo47sChlzYfJBlWwWPhFjThA
77mV88TxTUmnCDOl9KpDSJHkYQUpdulhY9uBzEtargjplB33nmt/bniP8sgd/PiyI58bj/Il7Cj4
fOd24RkQXMulV7ojCJjq5Yftf/3v2KyM/4l23E4o3ToiQeWHvzL9VBIHTfQnKHsW185j0Sogb6Jg
XKgSY1t6XMiWKBjXeSycggizlz2FG2NsWEb0ZIT5WEL/0Hwi/6OwY99mIN0YaRDHsjgICrbyS3aN
pZOPky1XV3C+N4ZbGFTBLb7hIX16koVBdLgofwagi2MnkR5pcCeqRjZ8WU1Cxadg6GAt9O88kWVC
BDnLnsetg4mfD5OJhIonIxu1cBBtPZ/m7Tdj8x5T+RRFRpIPl61aAMrKnsXHr39PfPzNfKTNwAoO
+SOeyVhSxJA05rO8/TSGZvpkm65rSsJMHaqCobHW7GeDMx9NHAekVvkfy6zbNy3DzQfKxhU41LLf
b4grGxqVazPwpYsChYSCwQMPPSd/RJE8Kb3oZGxIEpdVxJcd9T6QvTRK7RUs9et/BhUSBV//XkGe
K3fh1//yn5yZfNYNBWd9zzWMCmfdUHBh7g1/XVTQ5D3Ln8yDtXPBRfqu7FfsJeHU8Y3KmRFJL2Fd
gDrKDk6IxynY9GQey487IA4TO75kEmSIp7IL/rzjgwDkLL/ez473aDwuZSnOOCOzoFcJNZfp0OHO
/W4r0Bo9J6zcY8xJSpRKpfLHcfKYmtK3owZAZIwJQwNToeEOFHvHZtkXjP1l4rDEmcmS5LHNLOAp
PuAr48u/vkhsH59WtiBUqK1zKLR9F9WVf1DxFIsEXNmremOunILxLtioyw47NEjxVu7EM29mT9CN
sIlJleVDb0wUBTM9+E5sjivD2IgL1pXAopbdx7eAHmFIInr5gNnqKQ879FRHLwyy943QeXw0ZdNC
lAwCczz0Mm3G/3EXmHoyijDLXuDt9T/f/+2/GgjNnie7pLnyn+R/eSiP0TPsEIHc/nqaAs+3n84g
BNweVYXfe26sDcQ5dGbbI0Ozlv/x7e8cTdnkQ1BhFl9GoWFKrxtgTCVrneejiOvGe5b/8e0H8C4I
CzY8ad3yw14lS8OJ83Gy1ap44L/bbaCkubOfd7vkoB8A9sjhia4CKThMU1ZyyUP6NMoqXfRoKPtk
PD9IJ6HxWBl4DsmywrtUV/Au/WRGcaVn+NN8vdmLpCtwNv5meqakJCB4yyd5+8W7DSqe4f9TVCna
MECJyo9+TpbarwyTxzGlDLzT0lVsAv84agcfz4Xj6T5WLiOxfknlg4dB3wmau7KCc/KYVG6SSJLI
59EVnNG/fBwMBx8/DU7/tSKExww5sKL8w8Ek6h3wHUT9O52qj8fI9z3Wv4wDQVUL/dyp7KIyjtbu
FJvr/xjWCNDL0JIVj4CnlhWfj0lUjMQIbtSyw95//R9CG6nsdIsGCIcH/nFyQTUN3KG5WXjIseT5
8NnFDmhJdiqDJ2zzI/9GAtf8KAhQhjnIv4t4DwTUqfCZnrf8QtfkxOdNfwLsIeskyh1KjlsU1D3Z
ztetdJCEgRzeBJkrKEFlKX3doLdBKELre1y/LHZRauyThJdqJ0yNS1nyaIebdMDumgVt8o6p+7rz
eC9ugqy4BJtIkwoY6tuhuOHp2DX6XjfHHWakFRRn2YNMLJx+8jMIkef5G9jzkFeIzBgFQdz3ppSf
qGe4AjC1G6KgBpr2Nh3614C8FNwhBw24l+7rhuz8LIgJGkvXlsdd7+odwRmiCTbolgApy9fjDYd4
Y1h2aD7mI2VqB9oh8R9RZki9KTUeKib6Fiap3JrA28IdQ4zyP+C5nCKcIO2MUvvQ67c5zB/3Som2
Ri96pLa+yT/CI7T3xYCjPheQ77kQP+5LUK5AHO8l9sKhT7G9frFH4tjbfzVACyqIY5mus5YtMQW+
JMRvsVH5WHjllSSY3MrQcBfGOAjz758piB2zZOtkX6i8z0H+meR5JRW3a5e8fuCLwKdVroF+MMU3
S8WC8cLyP35Pfo87kLcccGhYibRi7WAI+YVncUfKwZOHFawsm/V/b8H7pPOAzCpE4IsL95vUfftM
OkFZc/hDvEBygvBL4E6fow/5eEIw4Y2gMpg+GBT0U3yCWXo05vYDv7uw8svqWdk3+3X4XRY4VgJP
cmz9kPHxwnt9sjbDR8OZyAMfdb2PC9RJSIyvYB3mYvU9fXF8VMKRlmuMzcjOxxIiKnqYlb0AN6nh
e3J0uX5U0F+wYDspfjQFz2mPihE5Ly8a6pU9AgohHoOx/M1UAFeGoVO5Jo4sPR+7cYPkZ/fqhcJL
4EWu8VGBhOFxtipX4n+GJx/zQ9280Aq+3KU/Bo9WcAnhNcwnevvVYGT508GSU37Ud8ZMVg2wXpYf
9SoNrXRdVGfgSsoPvQmoXAWFkgqtoeCIN4GPPWMrEIwrUrJTe/dIFNzra0OuQtJUlJfdGE9GsHNF
RPPLsmroRhSVFcCVUHIpGNhwx85CzpRpLQVvHZh3A95uSb9pogi+7FHcmjMZGQsJcvlR7/ARnkx3
b6ZJRZbgzhCEtwW10VVwt++oTXZmMyLqkut0OPjzwrdk6PiWMUNt5OebGRaaAum4tw1HRJKkgVXY
FvfGBM6k4klnHM9lBe/ecECpSytWYWHcA2EVZuHOmlVopIf1o7nnOJoK7uEnx4zxf6XzUKHq3hOg
DxaVy5gS4FnlT5UBlYZBnOzxwuBSqynYyPOEV4lvRLSKZMr8t86+Sdt08ss3/XbLZDgDoOCm+/QN
sWkVts+NMx67ZmVgRHG+XHF9N/Cx72thtMiLovjPpza06YSLXuPUvv12k63fnpSgK6HvnRTL663b
7FUx+ECh4/7vv/1HNDVSo3IepkA/WcEF1ZKekX81SR8S+4ATWEE46d6hgrl6LVL52zts014P1rP8
r0oIholTMM3FPfrTqWMEKf6SU/lARbwhody7bR0aLAWTngbTccAB3htT3EhHDmrBqiNY6spv7cpI
nNCRoDNajRhfu6vAkLkzaH1VfbIdoxpFSb7YjY+SzaHg2w/xtPeMrEAHXRt0pymYNZujOWrb/LjA
0ibV+xuMLLmPO/nW/LO//WKf4OVSfJUPJCTz6Lc9HkvJ8tkFK1vBbeqZruUk8uOuwI3pBRHxrwyY
fmGGa9MKFoVohWBHLWuosXijABBWUdVNqykLzLj0BY8Dco5/wlNTBNkktagC+ncZcgyyha2iHHYQ
xUWYgGgZXPab9dem0N35QOJ2qCiHPaOnYOEQ2grU9ZkRBuY+2+1gbv+FltUZaPEnybgQrT3KHvC5
8wjupYAVVuGAnkMk6Edmmi9RfLrjabDj1+LcDIGuysOqOAcqeuTTFW25y55uPwwo6ZPEN+utUXbc
iwQPPJQOAaa/8uu9JNZRuBd0X1Iwbmy48mo1Baf7zgwLAgZ5d/nFvsNtgUlChl1DLlt+5GsjXhSk
QUXS4NqJ7aRommi7cLvk1VmDoRssiFDJAtxUcMbXDno9Nn3cpUIhkIq8xHWyMsnPJKFslqsIb9wE
7pgzyWUhcyQEn3rZG00k1ygU/ukKrgiOcSwvVkWU4juQL01FgS5JiaUh6woVTzOd84qKTUWRwB2Y
1KRAyaCpKAT9SMSikBOuqyBOEje6mGyGY7q8AOMEozVDx5dCEXVNwds8nBWqBUEUKljwwsChC8f5
SOIqZ13byl7l4dIcy48HNK35LG93FIdLJwaBUBRjOuuVH/thKgoyJeOSOg4F426qga9IGIwD2W1U
kdT+JJgPkbs+wLB8sdlnVEL6FPg8UKYVygKtwqsZAiSRH1XaweQbeLuEEGA1Bd3kjZyO0EAlKYhy
bbLF5DJN0vLy6gX5voLH6iqIgoV02vTcaNK4pPzRfP13cW/2uWa0Z9PoTtGFqqFD9RsN4o5O9+NC
a6KFbBHLXTbQtr0bIXuHobLb/3qwjaJViEj8Vm3/y25t43v2t0md8wUcqls4CZNH2cQqL65U+jhA
U7OIWM8IH6FCyQfN9Fv+h7frihPfShxXxuuqyOCK1QIwjvIVZgayAt0guDThDQBYKw2tAmHTN1Js
rX26QYXD0C9IhwriwNPAgydILgNTYdfn4+5nylUB/4A4pcjHosIMB34+hs4kkWvOdgusXu8BX8Ak
4EjCrCKb9w45Lnw/+rzk07z9VmOACwapIt+hCi5lHNQ4EjRxcb7M7GofLJF6YWTzjlBhHIiSB+nx
r6uoRd8w31w5cRxl2vTWXDiyBlGBFdjMcp08yXZRXYVVdI9P5YyNcbb8++CRerztL0D/s/yPb5cb
ATbZnE8fuQyifcqwriJZsjmoTw6RbAiJhEkmuNE3WmEHq6SCbbYnSEsju/LJoch7r5KnyL78AT4M
D86gwL/uESAqUB3XRfPIst5qn+oa4In5QJl5oQI7MDRkq4i+XPkcb5dTkGdxZUBhB45fIl9jFWmh
jXRiwsT217+7pic5lfT9VrSBG4MZ5AgBNHEqQJCbDWxegcrvNxmjP+SrFp+2QS3mUV9wn43/y9Qi
baqic6s7M8WFsPzDs9CdhJa4pzICXwWaqwf6t5BSUOHr90JjLVMkqqBBFd9TijGpAF71AzcoUuyr
wBsOnrAp5UJJFUx8ZxjAT7boj1Ag21cROz8z3Ol34xxHwxovyL0mVP5InihArVy9lNDqwPaAjEqi
oalImQv0Nm60pMa1jgJ76c4Mk3zfGw9XQUD6IUyKi62ruCGfiGKuYXuUPhyF+fkGvvfhftwzsI/G
4jf4KGxYQSB+MrxA+jgqLI0eOIli2EiFASPUbbDXkFZRktQPhPfx+yuT0nrf+sM+P0SFV5DFsgXn
lshYodL2zaMiq9sPgrxOWLJWVaR2z5yJk19hoYNUlLuckbkSDHk5gWuWTXCewt06vINcqC/0+5/f
QlKz6U6dn4pC/Ofxs1I08bGFu/mNQ0mUWcrUcSoeBgJRUpprl3/nDSEokyzls4Rme7h5OsUZdPO/
kyQr64Ba1ie8Ao/9iIu1LV6aCn76vh1S0EIM93k78gQKHuZbc1npG+6eFJWKvN2tU2gkoiJr98nw
Ic+QzQkVvvKtQaWMdMAq7qw44M8mRXwyhJQUWj7V98yJ4+blnRM/EePY+7jAKKhgAmNGUkVsYbc/
Ge1CVUzgFturKBBqHqmIKoD9VYgqSFY2YYML0yU4/8+Vk4jgXEQ7l03EUdxY0iNU0vQT35bsFIge
y5/ZfTDFNpUkta7ClLinNlZerYq65vsE2EhhsQok8yc+r7OJwJ4lMSVn+blm8TgVOaMdI7Ouonan
L4pMRfQ+v7Tb69YJNrVFk16dPH6NaiEVQK5nPt9hRjBfuQFvFFbeJ9TMYS/uNePaok6pBpEqfaC7
8OIdb0T44xyffQx0ZR2f7d08B9O2/2qwncT/ZaJ8+6jvfnu73EeA9yvb5XflYAPmeEaCPLkYoH/5
PwAAAP//</cx:binary>
              </cx:geoCache>
            </cx:geography>
          </cx:layoutPr>
        </cx:series>
      </cx:plotAreaRegion>
    </cx:plotArea>
    <cx:legend pos="r" align="min" overlay="1">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1.jpeg"/><Relationship Id="rId7" Type="http://schemas.openxmlformats.org/officeDocument/2006/relationships/customXml" Target="../ink/ink4.xml"/><Relationship Id="rId12"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ustomXml" Target="../ink/ink3.xml"/><Relationship Id="rId11" Type="http://schemas.microsoft.com/office/2014/relationships/chartEx" Target="../charts/chartEx1.xml"/><Relationship Id="rId5" Type="http://schemas.openxmlformats.org/officeDocument/2006/relationships/image" Target="../media/image3.png"/><Relationship Id="rId10" Type="http://schemas.openxmlformats.org/officeDocument/2006/relationships/chart" Target="../charts/chart3.xml"/><Relationship Id="rId4" Type="http://schemas.openxmlformats.org/officeDocument/2006/relationships/customXml" Target="../ink/ink2.xml"/><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24</xdr:col>
      <xdr:colOff>239320</xdr:colOff>
      <xdr:row>2</xdr:row>
      <xdr:rowOff>122954</xdr:rowOff>
    </xdr:from>
    <xdr:to>
      <xdr:col>27</xdr:col>
      <xdr:colOff>247069</xdr:colOff>
      <xdr:row>26</xdr:row>
      <xdr:rowOff>116237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31B86F5D-F0F6-FAE2-8C6F-BA7932FD32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529184" y="484581"/>
              <a:ext cx="1828800" cy="43328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14880</xdr:colOff>
      <xdr:row>0</xdr:row>
      <xdr:rowOff>45360</xdr:rowOff>
    </xdr:from>
    <xdr:to>
      <xdr:col>2</xdr:col>
      <xdr:colOff>22800</xdr:colOff>
      <xdr:row>4</xdr:row>
      <xdr:rowOff>7560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2" name="Ink 11">
              <a:extLst>
                <a:ext uri="{FF2B5EF4-FFF2-40B4-BE49-F238E27FC236}">
                  <a16:creationId xmlns:a16="http://schemas.microsoft.com/office/drawing/2014/main" id="{726D7EA4-5856-5892-AAFC-3A79B95CE197}"/>
                </a:ext>
              </a:extLst>
            </xdr14:cNvPr>
            <xdr14:cNvContentPartPr/>
          </xdr14:nvContentPartPr>
          <xdr14:nvPr macro=""/>
          <xdr14:xfrm>
            <a:off x="1234080" y="45360"/>
            <a:ext cx="7920" cy="693720"/>
          </xdr14:xfrm>
        </xdr:contentPart>
      </mc:Choice>
      <mc:Fallback xmlns="">
        <xdr:pic>
          <xdr:nvPicPr>
            <xdr:cNvPr id="12" name="Ink 11">
              <a:extLst>
                <a:ext uri="{FF2B5EF4-FFF2-40B4-BE49-F238E27FC236}">
                  <a16:creationId xmlns:a16="http://schemas.microsoft.com/office/drawing/2014/main" id="{726D7EA4-5856-5892-AAFC-3A79B95CE197}"/>
                </a:ext>
              </a:extLst>
            </xdr:cNvPr>
            <xdr:cNvPicPr/>
          </xdr:nvPicPr>
          <xdr:blipFill>
            <a:blip xmlns:r="http://schemas.openxmlformats.org/officeDocument/2006/relationships" r:embed="rId2"/>
            <a:stretch>
              <a:fillRect/>
            </a:stretch>
          </xdr:blipFill>
          <xdr:spPr>
            <a:xfrm>
              <a:off x="1229760" y="40911"/>
              <a:ext cx="16560" cy="702619"/>
            </a:xfrm>
            <a:prstGeom prst="rect">
              <a:avLst/>
            </a:prstGeom>
          </xdr:spPr>
        </xdr:pic>
      </mc:Fallback>
    </mc:AlternateContent>
    <xdr:clientData/>
  </xdr:twoCellAnchor>
  <xdr:twoCellAnchor>
    <xdr:from>
      <xdr:col>1</xdr:col>
      <xdr:colOff>15240</xdr:colOff>
      <xdr:row>5</xdr:row>
      <xdr:rowOff>60960</xdr:rowOff>
    </xdr:from>
    <xdr:to>
      <xdr:col>1</xdr:col>
      <xdr:colOff>312420</xdr:colOff>
      <xdr:row>6</xdr:row>
      <xdr:rowOff>121920</xdr:rowOff>
    </xdr:to>
    <xdr:sp macro="" textlink="">
      <xdr:nvSpPr>
        <xdr:cNvPr id="14" name="Cube 13">
          <a:extLst>
            <a:ext uri="{FF2B5EF4-FFF2-40B4-BE49-F238E27FC236}">
              <a16:creationId xmlns:a16="http://schemas.microsoft.com/office/drawing/2014/main" id="{ECB821CE-9F85-84F3-FE2D-895A7EF2D846}"/>
            </a:ext>
          </a:extLst>
        </xdr:cNvPr>
        <xdr:cNvSpPr/>
      </xdr:nvSpPr>
      <xdr:spPr>
        <a:xfrm>
          <a:off x="624840" y="792480"/>
          <a:ext cx="297180" cy="243840"/>
        </a:xfrm>
        <a:prstGeom prst="cube">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266700</xdr:colOff>
      <xdr:row>0</xdr:row>
      <xdr:rowOff>106680</xdr:rowOff>
    </xdr:from>
    <xdr:to>
      <xdr:col>1</xdr:col>
      <xdr:colOff>403860</xdr:colOff>
      <xdr:row>3</xdr:row>
      <xdr:rowOff>99060</xdr:rowOff>
    </xdr:to>
    <xdr:pic>
      <xdr:nvPicPr>
        <xdr:cNvPr id="18" name="Picture 17">
          <a:extLst>
            <a:ext uri="{FF2B5EF4-FFF2-40B4-BE49-F238E27FC236}">
              <a16:creationId xmlns:a16="http://schemas.microsoft.com/office/drawing/2014/main" id="{5BD6021C-DBF6-3555-42A3-1D75148B0D9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6700" y="106680"/>
          <a:ext cx="746760" cy="541020"/>
        </a:xfrm>
        <a:prstGeom prst="rect">
          <a:avLst/>
        </a:prstGeom>
      </xdr:spPr>
    </xdr:pic>
    <xdr:clientData/>
  </xdr:twoCellAnchor>
  <xdr:twoCellAnchor editAs="oneCell">
    <xdr:from>
      <xdr:col>4</xdr:col>
      <xdr:colOff>7440</xdr:colOff>
      <xdr:row>5</xdr:row>
      <xdr:rowOff>30240</xdr:rowOff>
    </xdr:from>
    <xdr:to>
      <xdr:col>4</xdr:col>
      <xdr:colOff>8160</xdr:colOff>
      <xdr:row>6</xdr:row>
      <xdr:rowOff>175680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20" name="Ink 19">
              <a:extLst>
                <a:ext uri="{FF2B5EF4-FFF2-40B4-BE49-F238E27FC236}">
                  <a16:creationId xmlns:a16="http://schemas.microsoft.com/office/drawing/2014/main" id="{D21C51CD-E0F0-C6DE-B87A-4A32ABF99643}"/>
                </a:ext>
              </a:extLst>
            </xdr14:cNvPr>
            <xdr14:cNvContentPartPr/>
          </xdr14:nvContentPartPr>
          <xdr14:nvPr macro=""/>
          <xdr14:xfrm>
            <a:off x="2445840" y="944640"/>
            <a:ext cx="720" cy="328320"/>
          </xdr14:xfrm>
        </xdr:contentPart>
      </mc:Choice>
      <mc:Fallback xmlns="">
        <xdr:pic>
          <xdr:nvPicPr>
            <xdr:cNvPr id="20" name="Ink 19">
              <a:extLst>
                <a:ext uri="{FF2B5EF4-FFF2-40B4-BE49-F238E27FC236}">
                  <a16:creationId xmlns:a16="http://schemas.microsoft.com/office/drawing/2014/main" id="{D21C51CD-E0F0-C6DE-B87A-4A32ABF99643}"/>
                </a:ext>
              </a:extLst>
            </xdr:cNvPr>
            <xdr:cNvPicPr/>
          </xdr:nvPicPr>
          <xdr:blipFill>
            <a:blip xmlns:r="http://schemas.openxmlformats.org/officeDocument/2006/relationships" r:embed="rId5"/>
            <a:stretch>
              <a:fillRect/>
            </a:stretch>
          </xdr:blipFill>
          <xdr:spPr>
            <a:xfrm>
              <a:off x="2437200" y="939960"/>
              <a:ext cx="18000" cy="336960"/>
            </a:xfrm>
            <a:prstGeom prst="rect">
              <a:avLst/>
            </a:prstGeom>
          </xdr:spPr>
        </xdr:pic>
      </mc:Fallback>
    </mc:AlternateContent>
    <xdr:clientData/>
  </xdr:twoCellAnchor>
  <xdr:oneCellAnchor>
    <xdr:from>
      <xdr:col>10</xdr:col>
      <xdr:colOff>7440</xdr:colOff>
      <xdr:row>5</xdr:row>
      <xdr:rowOff>30240</xdr:rowOff>
    </xdr:from>
    <xdr:ext cx="720" cy="32832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21" name="Ink 20">
              <a:extLst>
                <a:ext uri="{FF2B5EF4-FFF2-40B4-BE49-F238E27FC236}">
                  <a16:creationId xmlns:a16="http://schemas.microsoft.com/office/drawing/2014/main" id="{FAD01547-2FB5-494E-81E8-B8EFC7322BE1}"/>
                </a:ext>
              </a:extLst>
            </xdr14:cNvPr>
            <xdr14:cNvContentPartPr/>
          </xdr14:nvContentPartPr>
          <xdr14:nvPr macro=""/>
          <xdr14:xfrm>
            <a:off x="2445840" y="944640"/>
            <a:ext cx="720" cy="328320"/>
          </xdr14:xfrm>
        </xdr:contentPart>
      </mc:Choice>
      <mc:Fallback xmlns="">
        <xdr:pic>
          <xdr:nvPicPr>
            <xdr:cNvPr id="21" name="Ink 20">
              <a:extLst>
                <a:ext uri="{FF2B5EF4-FFF2-40B4-BE49-F238E27FC236}">
                  <a16:creationId xmlns:a16="http://schemas.microsoft.com/office/drawing/2014/main" id="{FAD01547-2FB5-494E-81E8-B8EFC7322BE1}"/>
                </a:ext>
              </a:extLst>
            </xdr:cNvPr>
            <xdr:cNvPicPr/>
          </xdr:nvPicPr>
          <xdr:blipFill>
            <a:blip xmlns:r="http://schemas.openxmlformats.org/officeDocument/2006/relationships" r:embed="rId5"/>
            <a:stretch>
              <a:fillRect/>
            </a:stretch>
          </xdr:blipFill>
          <xdr:spPr>
            <a:xfrm>
              <a:off x="2437200" y="939960"/>
              <a:ext cx="18000" cy="336960"/>
            </a:xfrm>
            <a:prstGeom prst="rect">
              <a:avLst/>
            </a:prstGeom>
          </xdr:spPr>
        </xdr:pic>
      </mc:Fallback>
    </mc:AlternateContent>
    <xdr:clientData/>
  </xdr:oneCellAnchor>
  <xdr:oneCellAnchor>
    <xdr:from>
      <xdr:col>16</xdr:col>
      <xdr:colOff>7440</xdr:colOff>
      <xdr:row>5</xdr:row>
      <xdr:rowOff>30240</xdr:rowOff>
    </xdr:from>
    <xdr:ext cx="720" cy="32832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23" name="Ink 22">
              <a:extLst>
                <a:ext uri="{FF2B5EF4-FFF2-40B4-BE49-F238E27FC236}">
                  <a16:creationId xmlns:a16="http://schemas.microsoft.com/office/drawing/2014/main" id="{9EAA9E2C-8395-4BEB-A9AC-DBDE8A9AEF96}"/>
                </a:ext>
              </a:extLst>
            </xdr14:cNvPr>
            <xdr14:cNvContentPartPr/>
          </xdr14:nvContentPartPr>
          <xdr14:nvPr macro=""/>
          <xdr14:xfrm>
            <a:off x="2445840" y="944640"/>
            <a:ext cx="720" cy="328320"/>
          </xdr14:xfrm>
        </xdr:contentPart>
      </mc:Choice>
      <mc:Fallback xmlns="">
        <xdr:pic>
          <xdr:nvPicPr>
            <xdr:cNvPr id="23" name="Ink 22">
              <a:extLst>
                <a:ext uri="{FF2B5EF4-FFF2-40B4-BE49-F238E27FC236}">
                  <a16:creationId xmlns:a16="http://schemas.microsoft.com/office/drawing/2014/main" id="{9EAA9E2C-8395-4BEB-A9AC-DBDE8A9AEF96}"/>
                </a:ext>
              </a:extLst>
            </xdr:cNvPr>
            <xdr:cNvPicPr/>
          </xdr:nvPicPr>
          <xdr:blipFill>
            <a:blip xmlns:r="http://schemas.openxmlformats.org/officeDocument/2006/relationships" r:embed="rId5"/>
            <a:stretch>
              <a:fillRect/>
            </a:stretch>
          </xdr:blipFill>
          <xdr:spPr>
            <a:xfrm>
              <a:off x="2437200" y="939960"/>
              <a:ext cx="18000" cy="336960"/>
            </a:xfrm>
            <a:prstGeom prst="rect">
              <a:avLst/>
            </a:prstGeom>
          </xdr:spPr>
        </xdr:pic>
      </mc:Fallback>
    </mc:AlternateContent>
    <xdr:clientData/>
  </xdr:oneCellAnchor>
  <xdr:twoCellAnchor>
    <xdr:from>
      <xdr:col>4</xdr:col>
      <xdr:colOff>486970</xdr:colOff>
      <xdr:row>7</xdr:row>
      <xdr:rowOff>5139</xdr:rowOff>
    </xdr:from>
    <xdr:to>
      <xdr:col>10</xdr:col>
      <xdr:colOff>235510</xdr:colOff>
      <xdr:row>23</xdr:row>
      <xdr:rowOff>172404</xdr:rowOff>
    </xdr:to>
    <xdr:graphicFrame macro="">
      <xdr:nvGraphicFramePr>
        <xdr:cNvPr id="25" name="Chart 24">
          <a:extLst>
            <a:ext uri="{FF2B5EF4-FFF2-40B4-BE49-F238E27FC236}">
              <a16:creationId xmlns:a16="http://schemas.microsoft.com/office/drawing/2014/main" id="{2068C582-7BB1-4E87-98AF-B1C6464E4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256067</xdr:colOff>
      <xdr:row>7</xdr:row>
      <xdr:rowOff>65922</xdr:rowOff>
    </xdr:from>
    <xdr:to>
      <xdr:col>15</xdr:col>
      <xdr:colOff>210347</xdr:colOff>
      <xdr:row>24</xdr:row>
      <xdr:rowOff>65922</xdr:rowOff>
    </xdr:to>
    <xdr:graphicFrame macro="">
      <xdr:nvGraphicFramePr>
        <xdr:cNvPr id="27" name="Chart 26">
          <a:extLst>
            <a:ext uri="{FF2B5EF4-FFF2-40B4-BE49-F238E27FC236}">
              <a16:creationId xmlns:a16="http://schemas.microsoft.com/office/drawing/2014/main" id="{7296ADD7-34C8-4349-86CE-9B1104E86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359912</xdr:colOff>
      <xdr:row>7</xdr:row>
      <xdr:rowOff>25342</xdr:rowOff>
    </xdr:from>
    <xdr:to>
      <xdr:col>26</xdr:col>
      <xdr:colOff>497072</xdr:colOff>
      <xdr:row>24</xdr:row>
      <xdr:rowOff>55821</xdr:rowOff>
    </xdr:to>
    <xdr:graphicFrame macro="">
      <xdr:nvGraphicFramePr>
        <xdr:cNvPr id="28" name="Chart 27">
          <a:extLst>
            <a:ext uri="{FF2B5EF4-FFF2-40B4-BE49-F238E27FC236}">
              <a16:creationId xmlns:a16="http://schemas.microsoft.com/office/drawing/2014/main" id="{6418DB78-0DBD-4C9E-94E1-5AF9531BE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339710</xdr:colOff>
      <xdr:row>25</xdr:row>
      <xdr:rowOff>83997</xdr:rowOff>
    </xdr:from>
    <xdr:to>
      <xdr:col>26</xdr:col>
      <xdr:colOff>461630</xdr:colOff>
      <xdr:row>42</xdr:row>
      <xdr:rowOff>30657</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7C919F05-6072-4AF3-841D-615C90CD90F9}"/>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4665310" y="4655997"/>
              <a:ext cx="6827520" cy="30556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547753</xdr:colOff>
      <xdr:row>24</xdr:row>
      <xdr:rowOff>152223</xdr:rowOff>
    </xdr:from>
    <xdr:to>
      <xdr:col>15</xdr:col>
      <xdr:colOff>311533</xdr:colOff>
      <xdr:row>41</xdr:row>
      <xdr:rowOff>121743</xdr:rowOff>
    </xdr:to>
    <xdr:graphicFrame macro="">
      <xdr:nvGraphicFramePr>
        <xdr:cNvPr id="31" name="Chart 30">
          <a:extLst>
            <a:ext uri="{FF2B5EF4-FFF2-40B4-BE49-F238E27FC236}">
              <a16:creationId xmlns:a16="http://schemas.microsoft.com/office/drawing/2014/main" id="{00363C21-544A-4F3C-BC67-539CEBF83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xdr:colOff>
      <xdr:row>10</xdr:row>
      <xdr:rowOff>39757</xdr:rowOff>
    </xdr:from>
    <xdr:to>
      <xdr:col>5</xdr:col>
      <xdr:colOff>1</xdr:colOff>
      <xdr:row>41</xdr:row>
      <xdr:rowOff>125894</xdr:rowOff>
    </xdr:to>
    <mc:AlternateContent xmlns:mc="http://schemas.openxmlformats.org/markup-compatibility/2006" xmlns:a14="http://schemas.microsoft.com/office/drawing/2010/main">
      <mc:Choice Requires="a14">
        <xdr:graphicFrame macro="">
          <xdr:nvGraphicFramePr>
            <xdr:cNvPr id="33" name="Region 1">
              <a:extLst>
                <a:ext uri="{FF2B5EF4-FFF2-40B4-BE49-F238E27FC236}">
                  <a16:creationId xmlns:a16="http://schemas.microsoft.com/office/drawing/2014/main" id="{8AC44FDA-2C6A-46C4-84EE-2A80A73AD8D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 y="1817757"/>
              <a:ext cx="3048000" cy="5597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4T04:40:47.322"/>
    </inkml:context>
    <inkml:brush xml:id="br0">
      <inkml:brushProperty name="width" value="0.025" units="cm"/>
      <inkml:brushProperty name="height" value="0.025" units="cm"/>
      <inkml:brushProperty name="color" value="#FFFFFF"/>
    </inkml:brush>
  </inkml:definitions>
  <inkml:trace contextRef="#ctx0" brushRef="#br0">62 0 24360,'-21'1871'0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4T04:59:53.233"/>
    </inkml:context>
    <inkml:brush xml:id="br0">
      <inkml:brushProperty name="width" value="0.025" units="cm"/>
      <inkml:brushProperty name="height" value="0.025" units="cm"/>
      <inkml:brushProperty name="color" value="#FFFFFF"/>
    </inkml:brush>
  </inkml:definitions>
  <inkml:trace contextRef="#ctx0" brushRef="#br0">21 0 23843,'0'911'0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4T05:03:22.189"/>
    </inkml:context>
    <inkml:brush xml:id="br0">
      <inkml:brushProperty name="width" value="0.025" units="cm"/>
      <inkml:brushProperty name="height" value="0.025" units="cm"/>
      <inkml:brushProperty name="color" value="#FFFFFF"/>
    </inkml:brush>
  </inkml:definitions>
  <inkml:trace contextRef="#ctx0" brushRef="#br0">21 0 23843,'0'911'0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4T05:04:41.337"/>
    </inkml:context>
    <inkml:brush xml:id="br0">
      <inkml:brushProperty name="width" value="0.025" units="cm"/>
      <inkml:brushProperty name="height" value="0.025" units="cm"/>
      <inkml:brushProperty name="color" value="#FFFFFF"/>
    </inkml:brush>
  </inkml:definitions>
  <inkml:trace contextRef="#ctx0" brushRef="#br0">21 0 23843,'0'911'0</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9.350220138891" createdVersion="8" refreshedVersion="8" minRefreshableVersion="3" recordCount="1200" xr:uid="{EF60785D-CEB8-4320-AA14-9B83ECC28C96}">
  <cacheSource type="worksheet">
    <worksheetSource name="Table1"/>
  </cacheSource>
  <cacheFields count="19">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8"/>
    </cacheField>
    <cacheField name="SKU" numFmtId="0">
      <sharedItems/>
    </cacheField>
    <cacheField name="Product_Name" numFmtId="0">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Total Sales" numFmtId="0">
      <sharedItems containsSemiMixedTypes="0" containsString="0" containsNumber="1" minValue="12.83" maxValue="1695.68"/>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acheField>
    <cacheField name="Months (Order_Date)" numFmtId="0" databaseField="0">
      <fieldGroup base="1">
        <rangePr groupBy="months" startDate="2023-01-02T00:00:00" endDate="2025-10-01T00:00:00"/>
        <groupItems count="14">
          <s v="&lt;1/2/2023"/>
          <s v="Jan"/>
          <s v="Feb"/>
          <s v="Mar"/>
          <s v="Apr"/>
          <s v="May"/>
          <s v="Jun"/>
          <s v="Jul"/>
          <s v="Aug"/>
          <s v="Sep"/>
          <s v="Oct"/>
          <s v="Nov"/>
          <s v="Dec"/>
          <s v="&gt;10/1/2025"/>
        </groupItems>
      </fieldGroup>
    </cacheField>
    <cacheField name="Quarters (Order_Date)" numFmtId="0" databaseField="0">
      <fieldGroup base="1">
        <rangePr groupBy="quarters" startDate="2023-01-02T00:00:00" endDate="2025-10-01T00:00:00"/>
        <groupItems count="6">
          <s v="&lt;1/2/2023"/>
          <s v="Qtr1"/>
          <s v="Qtr2"/>
          <s v="Qtr3"/>
          <s v="Qtr4"/>
          <s v="&gt;10/1/2025"/>
        </groupItems>
      </fieldGroup>
    </cacheField>
    <cacheField name="Years (Order_Date)" numFmtId="0" databaseField="0">
      <fieldGroup base="1">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170932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s v="AD-1877-D"/>
    <s v="Tiro 23 Track Pants"/>
    <x v="0"/>
    <x v="0"/>
    <x v="0"/>
    <n v="5"/>
    <n v="248.4"/>
    <n v="49.68"/>
    <n v="0"/>
    <n v="248.4"/>
    <n v="70.400000000000006"/>
    <n v="35"/>
    <x v="0"/>
    <s v="NetBanking"/>
  </r>
  <r>
    <n v="100865"/>
    <x v="1"/>
    <s v="AD-1745-B"/>
    <s v="Essentials Tee"/>
    <x v="0"/>
    <x v="1"/>
    <x v="0"/>
    <n v="2"/>
    <n v="54.14"/>
    <n v="27.07"/>
    <n v="0"/>
    <n v="54.14"/>
    <n v="11.35"/>
    <n v="48"/>
    <x v="0"/>
    <s v="NetBanking"/>
  </r>
  <r>
    <n v="100101"/>
    <x v="2"/>
    <s v="AD-8110-A"/>
    <s v="Superstar"/>
    <x v="1"/>
    <x v="0"/>
    <x v="0"/>
    <n v="3"/>
    <n v="289.74"/>
    <n v="96.58"/>
    <n v="20"/>
    <n v="231.79"/>
    <n v="61.86"/>
    <n v="34"/>
    <x v="1"/>
    <s v="Debit Card"/>
  </r>
  <r>
    <n v="100439"/>
    <x v="3"/>
    <s v="AD-4892-C"/>
    <s v="Performance Socks (3-pack)"/>
    <x v="2"/>
    <x v="2"/>
    <x v="1"/>
    <n v="5"/>
    <n v="87.449999999999989"/>
    <n v="17.489999999999998"/>
    <n v="10"/>
    <n v="78.7"/>
    <n v="35.99"/>
    <n v="30"/>
    <x v="0"/>
    <s v="Apple Pay"/>
  </r>
  <r>
    <n v="100058"/>
    <x v="4"/>
    <s v="AD-8657-B"/>
    <s v="Originals Backpack"/>
    <x v="2"/>
    <x v="1"/>
    <x v="1"/>
    <n v="3"/>
    <n v="176.88"/>
    <n v="58.96"/>
    <n v="5"/>
    <n v="168.04"/>
    <n v="68.38"/>
    <n v="30"/>
    <x v="0"/>
    <s v="PayPal"/>
  </r>
  <r>
    <n v="101120"/>
    <x v="5"/>
    <s v="AD-5267-A"/>
    <s v="Adicolor Hoodie"/>
    <x v="0"/>
    <x v="1"/>
    <x v="0"/>
    <n v="1"/>
    <n v="72.5"/>
    <n v="72.5"/>
    <n v="5"/>
    <n v="68.88"/>
    <n v="16.649999999999999"/>
    <n v="32"/>
    <x v="0"/>
    <s v="Apple Pay"/>
  </r>
  <r>
    <n v="100323"/>
    <x v="6"/>
    <s v="AD-3735-C"/>
    <s v="Ultraboost 22"/>
    <x v="1"/>
    <x v="0"/>
    <x v="0"/>
    <n v="4"/>
    <n v="728.64"/>
    <n v="182.16"/>
    <n v="0"/>
    <n v="728.64"/>
    <n v="227.81"/>
    <n v="29"/>
    <x v="0"/>
    <s v="NetBanking"/>
  </r>
  <r>
    <n v="100974"/>
    <x v="7"/>
    <s v="AD-7305-C"/>
    <s v="Originals Backpack"/>
    <x v="2"/>
    <x v="3"/>
    <x v="1"/>
    <n v="3"/>
    <n v="171.57"/>
    <n v="57.19"/>
    <n v="0"/>
    <n v="171.57"/>
    <n v="52.43"/>
    <n v="49"/>
    <x v="0"/>
    <s v="Debit Card"/>
  </r>
  <r>
    <n v="100411"/>
    <x v="8"/>
    <s v="AD-4842-A"/>
    <s v="Copa Sense"/>
    <x v="1"/>
    <x v="1"/>
    <x v="0"/>
    <n v="3"/>
    <n v="456.27"/>
    <n v="152.09"/>
    <n v="10"/>
    <n v="410.64"/>
    <n v="93.96"/>
    <n v="27"/>
    <x v="0"/>
    <s v="Cash"/>
  </r>
  <r>
    <n v="100855"/>
    <x v="9"/>
    <s v="AD-2386-C"/>
    <s v="Sports Bottle"/>
    <x v="2"/>
    <x v="4"/>
    <x v="1"/>
    <n v="1"/>
    <n v="15.26"/>
    <n v="15.26"/>
    <n v="20"/>
    <n v="12.21"/>
    <n v="3.82"/>
    <n v="33"/>
    <x v="1"/>
    <s v="Google Pay"/>
  </r>
  <r>
    <n v="100820"/>
    <x v="10"/>
    <s v="AD-3148-C"/>
    <s v="Performance Socks (3-pack)"/>
    <x v="2"/>
    <x v="4"/>
    <x v="2"/>
    <n v="1"/>
    <n v="18.61"/>
    <n v="18.61"/>
    <n v="20"/>
    <n v="14.89"/>
    <n v="6.07"/>
    <n v="25"/>
    <x v="1"/>
    <s v="Google Pay"/>
  </r>
  <r>
    <n v="100044"/>
    <x v="11"/>
    <s v="AD-2146-C"/>
    <s v="Sports Bottle"/>
    <x v="2"/>
    <x v="3"/>
    <x v="1"/>
    <n v="1"/>
    <n v="14.47"/>
    <n v="14.47"/>
    <n v="0"/>
    <n v="14.47"/>
    <n v="3.08"/>
    <n v="34"/>
    <x v="1"/>
    <s v="Apple Pay"/>
  </r>
  <r>
    <n v="100049"/>
    <x v="12"/>
    <s v="AD-8784-A"/>
    <s v="Adicolor Hoodie"/>
    <x v="0"/>
    <x v="4"/>
    <x v="0"/>
    <n v="2"/>
    <n v="128.52000000000001"/>
    <n v="64.260000000000005"/>
    <n v="0"/>
    <n v="128.52000000000001"/>
    <n v="48.57"/>
    <n v="18"/>
    <x v="1"/>
    <s v="UPI"/>
  </r>
  <r>
    <n v="100849"/>
    <x v="13"/>
    <s v="AD-6074-D"/>
    <s v="Training Cap"/>
    <x v="2"/>
    <x v="1"/>
    <x v="0"/>
    <n v="5"/>
    <n v="105.15"/>
    <n v="21.03"/>
    <n v="10"/>
    <n v="94.64"/>
    <n v="38.46"/>
    <n v="39"/>
    <x v="1"/>
    <s v="Google Pay"/>
  </r>
  <r>
    <n v="100240"/>
    <x v="14"/>
    <s v="AD-4836-C"/>
    <s v="Adicolor Hoodie"/>
    <x v="0"/>
    <x v="0"/>
    <x v="1"/>
    <n v="2"/>
    <n v="128.9"/>
    <n v="64.45"/>
    <n v="0"/>
    <n v="128.9"/>
    <n v="40.96"/>
    <n v="42"/>
    <x v="1"/>
    <s v="NetBanking"/>
  </r>
  <r>
    <n v="100170"/>
    <x v="15"/>
    <s v="AD-4941-D"/>
    <s v="Gym Bag"/>
    <x v="2"/>
    <x v="0"/>
    <x v="0"/>
    <n v="4"/>
    <n v="176.76"/>
    <n v="44.19"/>
    <n v="0"/>
    <n v="176.76"/>
    <n v="58.37"/>
    <n v="36"/>
    <x v="1"/>
    <s v="Cash"/>
  </r>
  <r>
    <n v="100523"/>
    <x v="16"/>
    <s v="AD-6044-C"/>
    <s v="Sports Bottle"/>
    <x v="2"/>
    <x v="1"/>
    <x v="1"/>
    <n v="4"/>
    <n v="55.92"/>
    <n v="13.98"/>
    <n v="5"/>
    <n v="53.12"/>
    <n v="18.21"/>
    <n v="51"/>
    <x v="0"/>
    <s v="Google Pay"/>
  </r>
  <r>
    <n v="100765"/>
    <x v="17"/>
    <s v="AD-4867-A"/>
    <s v="Training Shorts"/>
    <x v="0"/>
    <x v="2"/>
    <x v="0"/>
    <n v="3"/>
    <n v="93"/>
    <n v="31"/>
    <n v="0"/>
    <n v="93"/>
    <n v="32.93"/>
    <n v="21"/>
    <x v="0"/>
    <s v="PayPal"/>
  </r>
  <r>
    <n v="100838"/>
    <x v="18"/>
    <s v="AD-4954-C"/>
    <s v="Sports Bottle"/>
    <x v="2"/>
    <x v="1"/>
    <x v="1"/>
    <n v="2"/>
    <n v="31.7"/>
    <n v="15.85"/>
    <n v="5"/>
    <n v="30.11"/>
    <n v="12"/>
    <n v="35"/>
    <x v="1"/>
    <s v="NetBanking"/>
  </r>
  <r>
    <n v="100423"/>
    <x v="19"/>
    <s v="AD-2442-D"/>
    <s v="Primegreen Jacket"/>
    <x v="0"/>
    <x v="4"/>
    <x v="1"/>
    <n v="5"/>
    <n v="753.65"/>
    <n v="150.72999999999999"/>
    <n v="5"/>
    <n v="715.97"/>
    <n v="194.99"/>
    <n v="42"/>
    <x v="0"/>
    <s v="Google Pay"/>
  </r>
  <r>
    <n v="100380"/>
    <x v="20"/>
    <s v="AD-8259-C"/>
    <s v="Training Cap"/>
    <x v="2"/>
    <x v="0"/>
    <x v="3"/>
    <n v="2"/>
    <n v="38.18"/>
    <n v="19.09"/>
    <n v="0"/>
    <n v="38.18"/>
    <n v="15.81"/>
    <n v="30"/>
    <x v="1"/>
    <s v="NetBanking"/>
  </r>
  <r>
    <n v="100609"/>
    <x v="21"/>
    <s v="AD-2084-B"/>
    <s v="Z.N.E. Hoodie"/>
    <x v="0"/>
    <x v="4"/>
    <x v="1"/>
    <n v="6"/>
    <n v="779.69999999999993"/>
    <n v="129.94999999999999"/>
    <n v="0"/>
    <n v="779.7"/>
    <n v="212.91"/>
    <n v="32"/>
    <x v="1"/>
    <s v="Cash"/>
  </r>
  <r>
    <n v="100676"/>
    <x v="22"/>
    <s v="AD-1616-B"/>
    <s v="Predator Freak"/>
    <x v="1"/>
    <x v="0"/>
    <x v="1"/>
    <n v="3"/>
    <n v="680.16"/>
    <n v="226.72"/>
    <n v="20"/>
    <n v="544.13"/>
    <n v="140.88999999999999"/>
    <n v="16"/>
    <x v="1"/>
    <s v="PayPal"/>
  </r>
  <r>
    <n v="100344"/>
    <x v="23"/>
    <s v="AD-9128-A"/>
    <s v="Ultraboost Light"/>
    <x v="1"/>
    <x v="4"/>
    <x v="3"/>
    <n v="3"/>
    <n v="440.34000000000003"/>
    <n v="146.78"/>
    <n v="0"/>
    <n v="440.34"/>
    <n v="112.48"/>
    <n v="42"/>
    <x v="1"/>
    <s v="Apple Pay"/>
  </r>
  <r>
    <n v="100109"/>
    <x v="24"/>
    <s v="AD-2591-A"/>
    <s v="Training Shorts"/>
    <x v="0"/>
    <x v="4"/>
    <x v="0"/>
    <n v="3"/>
    <n v="86.97"/>
    <n v="28.99"/>
    <n v="20"/>
    <n v="69.58"/>
    <n v="18.350000000000001"/>
    <n v="37"/>
    <x v="0"/>
    <s v="PayPal"/>
  </r>
  <r>
    <n v="100277"/>
    <x v="25"/>
    <s v="AD-9180-B"/>
    <s v="Adilette Slides"/>
    <x v="1"/>
    <x v="4"/>
    <x v="1"/>
    <n v="4"/>
    <n v="139.80000000000001"/>
    <n v="34.950000000000003"/>
    <n v="5"/>
    <n v="132.81"/>
    <n v="48.4"/>
    <n v="26"/>
    <x v="0"/>
    <s v="Apple Pay"/>
  </r>
  <r>
    <n v="100677"/>
    <x v="26"/>
    <s v="AD-1074-B"/>
    <s v="Training Cap"/>
    <x v="2"/>
    <x v="4"/>
    <x v="2"/>
    <n v="4"/>
    <n v="88.32"/>
    <n v="22.08"/>
    <n v="0"/>
    <n v="88.32"/>
    <n v="19.61"/>
    <n v="24"/>
    <x v="1"/>
    <s v="Apple Pay"/>
  </r>
  <r>
    <n v="100570"/>
    <x v="27"/>
    <s v="AD-1136-A"/>
    <s v="Copa Sense"/>
    <x v="1"/>
    <x v="4"/>
    <x v="1"/>
    <n v="3"/>
    <n v="438.93"/>
    <n v="146.31"/>
    <n v="10"/>
    <n v="395.04"/>
    <n v="83.22"/>
    <n v="20"/>
    <x v="1"/>
    <s v="Google Pay"/>
  </r>
  <r>
    <n v="100358"/>
    <x v="28"/>
    <s v="AD-2705-D"/>
    <s v="Running Watch Strap"/>
    <x v="2"/>
    <x v="0"/>
    <x v="3"/>
    <n v="1"/>
    <n v="41.79"/>
    <n v="41.79"/>
    <n v="10"/>
    <n v="37.61"/>
    <n v="11.63"/>
    <n v="29"/>
    <x v="0"/>
    <s v="UPI"/>
  </r>
  <r>
    <n v="100598"/>
    <x v="29"/>
    <s v="AD-8460-C"/>
    <s v="Copa Sense"/>
    <x v="1"/>
    <x v="0"/>
    <x v="1"/>
    <n v="3"/>
    <n v="409.5"/>
    <n v="136.5"/>
    <n v="0"/>
    <n v="409.5"/>
    <n v="106.79"/>
    <n v="31"/>
    <x v="0"/>
    <s v="PayPal"/>
  </r>
  <r>
    <n v="100390"/>
    <x v="18"/>
    <s v="AD-2045-C"/>
    <s v="Training Shorts"/>
    <x v="0"/>
    <x v="0"/>
    <x v="0"/>
    <n v="4"/>
    <n v="115.8"/>
    <n v="28.95"/>
    <n v="0"/>
    <n v="115.8"/>
    <n v="33.4"/>
    <n v="18"/>
    <x v="0"/>
    <s v="Google Pay"/>
  </r>
  <r>
    <n v="100893"/>
    <x v="30"/>
    <s v="AD-4654-B"/>
    <s v="Copa Sense"/>
    <x v="1"/>
    <x v="2"/>
    <x v="2"/>
    <n v="5"/>
    <n v="801.7"/>
    <n v="160.34"/>
    <n v="10"/>
    <n v="721.53"/>
    <n v="215.58"/>
    <n v="39"/>
    <x v="1"/>
    <s v="Credit Card"/>
  </r>
  <r>
    <n v="100692"/>
    <x v="31"/>
    <s v="AD-8452-D"/>
    <s v="Superstar"/>
    <x v="1"/>
    <x v="0"/>
    <x v="0"/>
    <n v="3"/>
    <n v="252.27"/>
    <n v="84.09"/>
    <n v="10"/>
    <n v="227.04"/>
    <n v="53.17"/>
    <n v="30"/>
    <x v="1"/>
    <s v="Credit Card"/>
  </r>
  <r>
    <n v="100727"/>
    <x v="32"/>
    <s v="AD-6104-C"/>
    <s v="Performance Socks (3-pack)"/>
    <x v="2"/>
    <x v="4"/>
    <x v="0"/>
    <n v="4"/>
    <n v="75.08"/>
    <n v="18.77"/>
    <n v="0"/>
    <n v="75.08"/>
    <n v="28.42"/>
    <n v="34"/>
    <x v="1"/>
    <s v="Cash"/>
  </r>
  <r>
    <n v="100362"/>
    <x v="33"/>
    <s v="AD-5831-A"/>
    <s v="Running Watch Strap"/>
    <x v="2"/>
    <x v="0"/>
    <x v="0"/>
    <n v="4"/>
    <n v="157.84"/>
    <n v="39.46"/>
    <n v="0"/>
    <n v="157.84"/>
    <n v="46.87"/>
    <n v="21"/>
    <x v="1"/>
    <s v="Credit Card"/>
  </r>
  <r>
    <n v="100596"/>
    <x v="34"/>
    <s v="AD-1601-B"/>
    <s v="Sports Bottle"/>
    <x v="2"/>
    <x v="4"/>
    <x v="0"/>
    <n v="1"/>
    <n v="13.56"/>
    <n v="13.56"/>
    <n v="0"/>
    <n v="13.56"/>
    <n v="5.32"/>
    <n v="34"/>
    <x v="1"/>
    <s v="Cash"/>
  </r>
  <r>
    <n v="100427"/>
    <x v="35"/>
    <s v="AD-9973-C"/>
    <s v="Stan Smith"/>
    <x v="1"/>
    <x v="4"/>
    <x v="0"/>
    <n v="2"/>
    <n v="174.34"/>
    <n v="87.17"/>
    <n v="0"/>
    <n v="174.34"/>
    <n v="55.33"/>
    <n v="26"/>
    <x v="0"/>
    <s v="NetBanking"/>
  </r>
  <r>
    <n v="100070"/>
    <x v="36"/>
    <s v="AD-1166-B"/>
    <s v="Training Shorts"/>
    <x v="0"/>
    <x v="1"/>
    <x v="2"/>
    <n v="4"/>
    <n v="124.56"/>
    <n v="31.14"/>
    <n v="0"/>
    <n v="124.56"/>
    <n v="35.28"/>
    <n v="39"/>
    <x v="0"/>
    <s v="NetBanking"/>
  </r>
  <r>
    <n v="100321"/>
    <x v="37"/>
    <s v="AD-6081-D"/>
    <s v="Predator Freak"/>
    <x v="1"/>
    <x v="1"/>
    <x v="1"/>
    <n v="4"/>
    <n v="934.72"/>
    <n v="233.68"/>
    <n v="0"/>
    <n v="934.72"/>
    <n v="328.49"/>
    <n v="19"/>
    <x v="0"/>
    <s v="Debit Card"/>
  </r>
  <r>
    <n v="100652"/>
    <x v="38"/>
    <s v="AD-4193-C"/>
    <s v="Essentials Tee"/>
    <x v="0"/>
    <x v="4"/>
    <x v="1"/>
    <n v="3"/>
    <n v="81.929999999999993"/>
    <n v="27.31"/>
    <n v="0"/>
    <n v="81.93"/>
    <n v="29.76"/>
    <n v="30"/>
    <x v="1"/>
    <s v="UPI"/>
  </r>
  <r>
    <n v="101065"/>
    <x v="39"/>
    <s v="AD-6247-B"/>
    <s v="Superstar"/>
    <x v="1"/>
    <x v="2"/>
    <x v="3"/>
    <n v="7"/>
    <n v="666.61"/>
    <n v="95.23"/>
    <n v="0"/>
    <n v="666.61"/>
    <n v="186.65"/>
    <n v="24"/>
    <x v="0"/>
    <s v="PayPal"/>
  </r>
  <r>
    <n v="100107"/>
    <x v="40"/>
    <s v="AD-7484-C"/>
    <s v="Adicolor Hoodie"/>
    <x v="0"/>
    <x v="1"/>
    <x v="0"/>
    <n v="2"/>
    <n v="141"/>
    <n v="70.5"/>
    <n v="5"/>
    <n v="133.94999999999999"/>
    <n v="41.43"/>
    <n v="42"/>
    <x v="0"/>
    <s v="Credit Card"/>
  </r>
  <r>
    <n v="101108"/>
    <x v="41"/>
    <s v="AD-8517-D"/>
    <s v="Training Shorts"/>
    <x v="0"/>
    <x v="1"/>
    <x v="3"/>
    <n v="5"/>
    <n v="170.04999999999998"/>
    <n v="34.01"/>
    <n v="0"/>
    <n v="170.05"/>
    <n v="38.42"/>
    <n v="16"/>
    <x v="1"/>
    <s v="PayPal"/>
  </r>
  <r>
    <n v="100355"/>
    <x v="42"/>
    <s v="AD-6285-B"/>
    <s v="Superstar"/>
    <x v="1"/>
    <x v="3"/>
    <x v="0"/>
    <n v="2"/>
    <n v="194.26"/>
    <n v="97.13"/>
    <n v="5"/>
    <n v="184.55"/>
    <n v="50.99"/>
    <n v="29"/>
    <x v="1"/>
    <s v="NetBanking"/>
  </r>
  <r>
    <n v="100950"/>
    <x v="43"/>
    <s v="AD-7524-D"/>
    <s v="Performance Socks (3-pack)"/>
    <x v="2"/>
    <x v="4"/>
    <x v="2"/>
    <n v="7"/>
    <n v="118.23"/>
    <n v="16.89"/>
    <n v="0"/>
    <n v="118.23"/>
    <n v="46.38"/>
    <n v="22"/>
    <x v="1"/>
    <s v="Cash"/>
  </r>
  <r>
    <n v="100342"/>
    <x v="44"/>
    <s v="AD-2376-C"/>
    <s v="Ultraboost Light"/>
    <x v="1"/>
    <x v="3"/>
    <x v="0"/>
    <n v="4"/>
    <n v="513.44000000000005"/>
    <n v="128.36000000000001"/>
    <n v="0"/>
    <n v="513.44000000000005"/>
    <n v="113.36"/>
    <n v="26"/>
    <x v="0"/>
    <s v="Cash"/>
  </r>
  <r>
    <n v="100354"/>
    <x v="26"/>
    <s v="AD-2817-C"/>
    <s v="Copa Sense"/>
    <x v="1"/>
    <x v="2"/>
    <x v="0"/>
    <n v="2"/>
    <n v="344.7"/>
    <n v="172.35"/>
    <n v="0"/>
    <n v="344.7"/>
    <n v="131.25"/>
    <n v="29"/>
    <x v="1"/>
    <s v="PayPal"/>
  </r>
  <r>
    <n v="100023"/>
    <x v="45"/>
    <s v="AD-1828-A"/>
    <s v="Performance Socks (3-pack)"/>
    <x v="2"/>
    <x v="2"/>
    <x v="0"/>
    <n v="3"/>
    <n v="57.239999999999995"/>
    <n v="19.079999999999998"/>
    <n v="20"/>
    <n v="45.79"/>
    <n v="19.61"/>
    <n v="41"/>
    <x v="0"/>
    <s v="Debit Card"/>
  </r>
  <r>
    <n v="100043"/>
    <x v="46"/>
    <s v="AD-8144-A"/>
    <s v="NMD_R1"/>
    <x v="1"/>
    <x v="4"/>
    <x v="2"/>
    <n v="5"/>
    <n v="616.1"/>
    <n v="123.22"/>
    <n v="0"/>
    <n v="616.1"/>
    <n v="217.11"/>
    <n v="24"/>
    <x v="1"/>
    <s v="Credit Card"/>
  </r>
  <r>
    <n v="100243"/>
    <x v="47"/>
    <s v="AD-7688-B"/>
    <s v="Training Shorts"/>
    <x v="0"/>
    <x v="0"/>
    <x v="1"/>
    <n v="4"/>
    <n v="123.48"/>
    <n v="30.87"/>
    <n v="0"/>
    <n v="123.48"/>
    <n v="26.64"/>
    <n v="22"/>
    <x v="1"/>
    <s v="Apple Pay"/>
  </r>
  <r>
    <n v="100737"/>
    <x v="48"/>
    <s v="AD-8486-C"/>
    <s v="Tiro 23 Track Pants"/>
    <x v="0"/>
    <x v="4"/>
    <x v="0"/>
    <n v="2"/>
    <n v="113.76"/>
    <n v="56.88"/>
    <n v="0"/>
    <n v="113.76"/>
    <n v="35.369999999999997"/>
    <n v="23"/>
    <x v="1"/>
    <s v="NetBanking"/>
  </r>
  <r>
    <n v="101135"/>
    <x v="49"/>
    <s v="AD-2225-D"/>
    <s v="Superstar"/>
    <x v="1"/>
    <x v="0"/>
    <x v="1"/>
    <n v="2"/>
    <n v="199.18"/>
    <n v="99.59"/>
    <n v="5"/>
    <n v="189.22"/>
    <n v="63.97"/>
    <n v="36"/>
    <x v="1"/>
    <s v="NetBanking"/>
  </r>
  <r>
    <n v="100367"/>
    <x v="50"/>
    <s v="AD-3798-C"/>
    <s v="Tiro 23 Track Pants"/>
    <x v="0"/>
    <x v="0"/>
    <x v="1"/>
    <n v="4"/>
    <n v="219.48"/>
    <n v="54.87"/>
    <n v="0"/>
    <n v="219.48"/>
    <n v="49.53"/>
    <n v="24"/>
    <x v="1"/>
    <s v="UPI"/>
  </r>
  <r>
    <n v="100163"/>
    <x v="51"/>
    <s v="AD-5670-A"/>
    <s v="Training Cap"/>
    <x v="2"/>
    <x v="0"/>
    <x v="0"/>
    <n v="1"/>
    <n v="23.03"/>
    <n v="23.03"/>
    <n v="0"/>
    <n v="23.03"/>
    <n v="8.06"/>
    <n v="32"/>
    <x v="0"/>
    <s v="Debit Card"/>
  </r>
  <r>
    <n v="101115"/>
    <x v="52"/>
    <s v="AD-1845-D"/>
    <s v="Running Watch Strap"/>
    <x v="2"/>
    <x v="4"/>
    <x v="3"/>
    <n v="5"/>
    <n v="193.55"/>
    <n v="38.71"/>
    <n v="0"/>
    <n v="193.55"/>
    <n v="41.29"/>
    <n v="18"/>
    <x v="1"/>
    <s v="Apple Pay"/>
  </r>
  <r>
    <n v="100332"/>
    <x v="53"/>
    <s v="AD-6488-A"/>
    <s v="Originals Backpack"/>
    <x v="2"/>
    <x v="1"/>
    <x v="1"/>
    <n v="3"/>
    <n v="182.73"/>
    <n v="60.91"/>
    <n v="10"/>
    <n v="164.46"/>
    <n v="65.8"/>
    <n v="41"/>
    <x v="0"/>
    <s v="Credit Card"/>
  </r>
  <r>
    <n v="100988"/>
    <x v="54"/>
    <s v="AD-1353-D"/>
    <s v="Training Cap"/>
    <x v="2"/>
    <x v="4"/>
    <x v="2"/>
    <n v="2"/>
    <n v="38.82"/>
    <n v="19.41"/>
    <n v="0"/>
    <n v="38.82"/>
    <n v="9.3800000000000008"/>
    <n v="24"/>
    <x v="0"/>
    <s v="PayPal"/>
  </r>
  <r>
    <n v="101172"/>
    <x v="55"/>
    <s v="AD-5764-B"/>
    <s v="Superstar"/>
    <x v="1"/>
    <x v="4"/>
    <x v="1"/>
    <n v="2"/>
    <n v="164.24"/>
    <n v="82.12"/>
    <n v="0"/>
    <n v="164.24"/>
    <n v="57.54"/>
    <n v="51"/>
    <x v="1"/>
    <s v="Debit Card"/>
  </r>
  <r>
    <n v="101001"/>
    <x v="5"/>
    <s v="AD-9292-C"/>
    <s v="Copa Sense"/>
    <x v="1"/>
    <x v="4"/>
    <x v="1"/>
    <n v="3"/>
    <n v="395.46"/>
    <n v="131.82"/>
    <n v="10"/>
    <n v="355.91"/>
    <n v="114.03"/>
    <n v="32"/>
    <x v="1"/>
    <s v="Debit Card"/>
  </r>
  <r>
    <n v="100377"/>
    <x v="56"/>
    <s v="AD-1613-B"/>
    <s v="Sports Bottle"/>
    <x v="2"/>
    <x v="2"/>
    <x v="0"/>
    <n v="2"/>
    <n v="30"/>
    <n v="15"/>
    <n v="0"/>
    <n v="30"/>
    <n v="9.56"/>
    <n v="24"/>
    <x v="0"/>
    <s v="Google Pay"/>
  </r>
  <r>
    <n v="100309"/>
    <x v="57"/>
    <s v="AD-2494-A"/>
    <s v="Copa Sense"/>
    <x v="1"/>
    <x v="0"/>
    <x v="1"/>
    <n v="4"/>
    <n v="605.79999999999995"/>
    <n v="151.44999999999999"/>
    <n v="10"/>
    <n v="545.22"/>
    <n v="165.42"/>
    <n v="36"/>
    <x v="0"/>
    <s v="Apple Pay"/>
  </r>
  <r>
    <n v="100155"/>
    <x v="58"/>
    <s v="AD-2388-C"/>
    <s v="Predator Freak"/>
    <x v="1"/>
    <x v="1"/>
    <x v="1"/>
    <n v="2"/>
    <n v="421.6"/>
    <n v="210.8"/>
    <n v="0"/>
    <n v="421.6"/>
    <n v="98.14"/>
    <n v="22"/>
    <x v="0"/>
    <s v="PayPal"/>
  </r>
  <r>
    <n v="100210"/>
    <x v="59"/>
    <s v="AD-2020-B"/>
    <s v="Ultraboost 22"/>
    <x v="1"/>
    <x v="1"/>
    <x v="0"/>
    <n v="3"/>
    <n v="499.47"/>
    <n v="166.49"/>
    <n v="5"/>
    <n v="474.5"/>
    <n v="157.63999999999999"/>
    <n v="25"/>
    <x v="1"/>
    <s v="Google Pay"/>
  </r>
  <r>
    <n v="100086"/>
    <x v="60"/>
    <s v="AD-5415-A"/>
    <s v="Superstar"/>
    <x v="1"/>
    <x v="0"/>
    <x v="2"/>
    <n v="4"/>
    <n v="364.36"/>
    <n v="91.09"/>
    <n v="20"/>
    <n v="291.49"/>
    <n v="72.010000000000005"/>
    <n v="25"/>
    <x v="0"/>
    <s v="Credit Card"/>
  </r>
  <r>
    <n v="100168"/>
    <x v="61"/>
    <s v="AD-5720-B"/>
    <s v="Adilette Slides"/>
    <x v="1"/>
    <x v="1"/>
    <x v="1"/>
    <n v="3"/>
    <n v="113.97"/>
    <n v="37.99"/>
    <n v="0"/>
    <n v="113.97"/>
    <n v="40.85"/>
    <n v="27"/>
    <x v="1"/>
    <s v="Debit Card"/>
  </r>
  <r>
    <n v="100994"/>
    <x v="62"/>
    <s v="AD-7498-D"/>
    <s v="Originals Backpack"/>
    <x v="2"/>
    <x v="0"/>
    <x v="0"/>
    <n v="2"/>
    <n v="112.28"/>
    <n v="56.14"/>
    <n v="0"/>
    <n v="112.28"/>
    <n v="38.53"/>
    <n v="17"/>
    <x v="1"/>
    <s v="UPI"/>
  </r>
  <r>
    <n v="100051"/>
    <x v="63"/>
    <s v="AD-3881-D"/>
    <s v="Ultraboost 22"/>
    <x v="1"/>
    <x v="2"/>
    <x v="2"/>
    <n v="2"/>
    <n v="386.2"/>
    <n v="193.1"/>
    <n v="0"/>
    <n v="386.2"/>
    <n v="111.95"/>
    <n v="30"/>
    <x v="0"/>
    <s v="UPI"/>
  </r>
  <r>
    <n v="100438"/>
    <x v="64"/>
    <s v="AD-4342-A"/>
    <s v="Copa Sense"/>
    <x v="1"/>
    <x v="0"/>
    <x v="0"/>
    <n v="2"/>
    <n v="337.8"/>
    <n v="168.9"/>
    <n v="0"/>
    <n v="337.8"/>
    <n v="115.68"/>
    <n v="17"/>
    <x v="1"/>
    <s v="NetBanking"/>
  </r>
  <r>
    <n v="100549"/>
    <x v="42"/>
    <s v="AD-3931-D"/>
    <s v="Gym Bag"/>
    <x v="2"/>
    <x v="0"/>
    <x v="1"/>
    <n v="4"/>
    <n v="174.36"/>
    <n v="43.59"/>
    <n v="10"/>
    <n v="156.91999999999999"/>
    <n v="58.82"/>
    <n v="28"/>
    <x v="1"/>
    <s v="UPI"/>
  </r>
  <r>
    <n v="100490"/>
    <x v="65"/>
    <s v="AD-1941-B"/>
    <s v="Training Shorts"/>
    <x v="0"/>
    <x v="4"/>
    <x v="0"/>
    <n v="4"/>
    <n v="118.08"/>
    <n v="29.52"/>
    <n v="10"/>
    <n v="106.27"/>
    <n v="29.71"/>
    <n v="33"/>
    <x v="2"/>
    <s v="NetBanking"/>
  </r>
  <r>
    <n v="100425"/>
    <x v="66"/>
    <s v="AD-8474-C"/>
    <s v="Superstar"/>
    <x v="1"/>
    <x v="3"/>
    <x v="1"/>
    <n v="2"/>
    <n v="183.6"/>
    <n v="91.8"/>
    <n v="0"/>
    <n v="183.6"/>
    <n v="31.17"/>
    <n v="31"/>
    <x v="0"/>
    <s v="UPI"/>
  </r>
  <r>
    <n v="100135"/>
    <x v="67"/>
    <s v="AD-7566-A"/>
    <s v="Essentials Tee"/>
    <x v="0"/>
    <x v="1"/>
    <x v="0"/>
    <n v="2"/>
    <n v="49.62"/>
    <n v="24.81"/>
    <n v="0"/>
    <n v="49.62"/>
    <n v="13.78"/>
    <n v="38"/>
    <x v="1"/>
    <s v="PayPal"/>
  </r>
  <r>
    <n v="101191"/>
    <x v="45"/>
    <s v="AD-3955-C"/>
    <s v="Tiro 23 Track Pants"/>
    <x v="0"/>
    <x v="4"/>
    <x v="2"/>
    <n v="5"/>
    <n v="271.35000000000002"/>
    <n v="54.27"/>
    <n v="0"/>
    <n v="271.35000000000002"/>
    <n v="74.099999999999994"/>
    <n v="17"/>
    <x v="1"/>
    <s v="Google Pay"/>
  </r>
  <r>
    <n v="100054"/>
    <x v="68"/>
    <s v="AD-9849-A"/>
    <s v="Adicolor Hoodie"/>
    <x v="0"/>
    <x v="4"/>
    <x v="0"/>
    <n v="1"/>
    <n v="74.959999999999994"/>
    <n v="74.959999999999994"/>
    <n v="40"/>
    <n v="44.98"/>
    <n v="11.34"/>
    <n v="25"/>
    <x v="1"/>
    <s v="Cash"/>
  </r>
  <r>
    <n v="100078"/>
    <x v="69"/>
    <s v="AD-2395-B"/>
    <s v="Training Cap"/>
    <x v="2"/>
    <x v="0"/>
    <x v="0"/>
    <n v="4"/>
    <n v="98.68"/>
    <n v="24.67"/>
    <n v="10"/>
    <n v="88.81"/>
    <n v="31.25"/>
    <n v="19"/>
    <x v="1"/>
    <s v="NetBanking"/>
  </r>
  <r>
    <n v="100430"/>
    <x v="70"/>
    <s v="AD-8493-B"/>
    <s v="Originals Backpack"/>
    <x v="2"/>
    <x v="0"/>
    <x v="1"/>
    <n v="2"/>
    <n v="126.4"/>
    <n v="63.2"/>
    <n v="10"/>
    <n v="113.76"/>
    <n v="41.22"/>
    <n v="39"/>
    <x v="1"/>
    <s v="Google Pay"/>
  </r>
  <r>
    <n v="100184"/>
    <x v="71"/>
    <s v="AD-5288-C"/>
    <s v="Stan Smith"/>
    <x v="1"/>
    <x v="4"/>
    <x v="1"/>
    <n v="2"/>
    <n v="151.52000000000001"/>
    <n v="75.760000000000005"/>
    <n v="10"/>
    <n v="136.37"/>
    <n v="38.76"/>
    <n v="17"/>
    <x v="0"/>
    <s v="Debit Card"/>
  </r>
  <r>
    <n v="100056"/>
    <x v="72"/>
    <s v="AD-7232-D"/>
    <s v="Ultraboost Light"/>
    <x v="1"/>
    <x v="1"/>
    <x v="2"/>
    <n v="3"/>
    <n v="463.02"/>
    <n v="154.34"/>
    <n v="20"/>
    <n v="370.42"/>
    <n v="121.89"/>
    <n v="35"/>
    <x v="0"/>
    <s v="Credit Card"/>
  </r>
  <r>
    <n v="100942"/>
    <x v="73"/>
    <s v="AD-6060-B"/>
    <s v="Running Watch Strap"/>
    <x v="2"/>
    <x v="4"/>
    <x v="0"/>
    <n v="4"/>
    <n v="144.16"/>
    <n v="36.04"/>
    <n v="0"/>
    <n v="144.16"/>
    <n v="60.23"/>
    <n v="35"/>
    <x v="0"/>
    <s v="Debit Card"/>
  </r>
  <r>
    <n v="100850"/>
    <x v="74"/>
    <s v="AD-9270-D"/>
    <s v="Z.N.E. Hoodie"/>
    <x v="0"/>
    <x v="1"/>
    <x v="1"/>
    <n v="2"/>
    <n v="219.06"/>
    <n v="109.53"/>
    <n v="0"/>
    <n v="219.06"/>
    <n v="71.78"/>
    <n v="31"/>
    <x v="0"/>
    <s v="PayPal"/>
  </r>
  <r>
    <n v="101163"/>
    <x v="75"/>
    <s v="AD-9484-D"/>
    <s v="Training Cap"/>
    <x v="2"/>
    <x v="1"/>
    <x v="2"/>
    <n v="3"/>
    <n v="71.400000000000006"/>
    <n v="23.8"/>
    <n v="40"/>
    <n v="42.84"/>
    <n v="21.01"/>
    <n v="44"/>
    <x v="1"/>
    <s v="Cash"/>
  </r>
  <r>
    <n v="100218"/>
    <x v="76"/>
    <s v="AD-7666-D"/>
    <s v="Originals Backpack"/>
    <x v="2"/>
    <x v="1"/>
    <x v="1"/>
    <n v="2"/>
    <n v="110.48"/>
    <n v="55.24"/>
    <n v="5"/>
    <n v="104.96"/>
    <n v="18.82"/>
    <n v="43"/>
    <x v="1"/>
    <s v="PayPal"/>
  </r>
  <r>
    <n v="100844"/>
    <x v="77"/>
    <s v="AD-8210-D"/>
    <s v="Sports Bottle"/>
    <x v="2"/>
    <x v="1"/>
    <x v="0"/>
    <n v="3"/>
    <n v="46.14"/>
    <n v="15.38"/>
    <n v="0"/>
    <n v="46.14"/>
    <n v="14.62"/>
    <n v="35"/>
    <x v="1"/>
    <s v="Apple Pay"/>
  </r>
  <r>
    <n v="100113"/>
    <x v="78"/>
    <s v="AD-2479-D"/>
    <s v="Adicolor Hoodie"/>
    <x v="0"/>
    <x v="0"/>
    <x v="3"/>
    <n v="4"/>
    <n v="307.95999999999998"/>
    <n v="76.989999999999995"/>
    <n v="0"/>
    <n v="307.95999999999998"/>
    <n v="66.06"/>
    <n v="23"/>
    <x v="0"/>
    <s v="Cash"/>
  </r>
  <r>
    <n v="100548"/>
    <x v="79"/>
    <s v="AD-2276-B"/>
    <s v="Ultraboost Light"/>
    <x v="1"/>
    <x v="4"/>
    <x v="0"/>
    <n v="1"/>
    <n v="136.94"/>
    <n v="136.94"/>
    <n v="0"/>
    <n v="136.94"/>
    <n v="32.32"/>
    <n v="16"/>
    <x v="1"/>
    <s v="NetBanking"/>
  </r>
  <r>
    <n v="101018"/>
    <x v="80"/>
    <s v="AD-1227-B"/>
    <s v="Training Cap"/>
    <x v="2"/>
    <x v="3"/>
    <x v="2"/>
    <n v="4"/>
    <n v="90.96"/>
    <n v="22.74"/>
    <n v="0"/>
    <n v="90.96"/>
    <n v="32.31"/>
    <n v="24"/>
    <x v="0"/>
    <s v="Apple Pay"/>
  </r>
  <r>
    <n v="101072"/>
    <x v="81"/>
    <s v="AD-7184-A"/>
    <s v="Adilette Slides"/>
    <x v="1"/>
    <x v="4"/>
    <x v="0"/>
    <n v="2"/>
    <n v="65.7"/>
    <n v="32.85"/>
    <n v="0"/>
    <n v="65.7"/>
    <n v="17.73"/>
    <n v="26"/>
    <x v="0"/>
    <s v="PayPal"/>
  </r>
  <r>
    <n v="100174"/>
    <x v="82"/>
    <s v="AD-4302-A"/>
    <s v="Copa Sense"/>
    <x v="1"/>
    <x v="4"/>
    <x v="1"/>
    <n v="3"/>
    <n v="485.09999999999997"/>
    <n v="161.69999999999999"/>
    <n v="0"/>
    <n v="485.1"/>
    <n v="128.55000000000001"/>
    <n v="32"/>
    <x v="1"/>
    <s v="NetBanking"/>
  </r>
  <r>
    <n v="101022"/>
    <x v="83"/>
    <s v="AD-9446-A"/>
    <s v="Tiro 23 Track Pants"/>
    <x v="0"/>
    <x v="4"/>
    <x v="1"/>
    <n v="2"/>
    <n v="118.58"/>
    <n v="59.29"/>
    <n v="40"/>
    <n v="71.150000000000006"/>
    <n v="25.9"/>
    <n v="21"/>
    <x v="1"/>
    <s v="NetBanking"/>
  </r>
  <r>
    <n v="100615"/>
    <x v="84"/>
    <s v="AD-6460-D"/>
    <s v="Primegreen Jacket"/>
    <x v="0"/>
    <x v="1"/>
    <x v="0"/>
    <n v="3"/>
    <n v="449.46"/>
    <n v="149.82"/>
    <n v="0"/>
    <n v="449.46"/>
    <n v="118.22"/>
    <n v="25"/>
    <x v="0"/>
    <s v="Debit Card"/>
  </r>
  <r>
    <n v="100513"/>
    <x v="85"/>
    <s v="AD-5663-C"/>
    <s v="Stan Smith"/>
    <x v="1"/>
    <x v="0"/>
    <x v="1"/>
    <n v="6"/>
    <n v="564.29999999999995"/>
    <n v="94.05"/>
    <n v="5"/>
    <n v="536.08000000000004"/>
    <n v="131.25"/>
    <n v="27"/>
    <x v="0"/>
    <s v="PayPal"/>
  </r>
  <r>
    <n v="100461"/>
    <x v="86"/>
    <s v="AD-6182-D"/>
    <s v="Performance Socks (3-pack)"/>
    <x v="2"/>
    <x v="0"/>
    <x v="1"/>
    <n v="3"/>
    <n v="56.04"/>
    <n v="18.68"/>
    <n v="5"/>
    <n v="53.24"/>
    <n v="22.85"/>
    <n v="35"/>
    <x v="1"/>
    <s v="Cash"/>
  </r>
  <r>
    <n v="100286"/>
    <x v="87"/>
    <s v="AD-4053-D"/>
    <s v="Copa Sense"/>
    <x v="1"/>
    <x v="1"/>
    <x v="1"/>
    <n v="3"/>
    <n v="516.39"/>
    <n v="172.13"/>
    <n v="5"/>
    <n v="490.57"/>
    <n v="163.9"/>
    <n v="24"/>
    <x v="0"/>
    <s v="PayPal"/>
  </r>
  <r>
    <n v="100381"/>
    <x v="88"/>
    <s v="AD-8937-C"/>
    <s v="Originals Backpack"/>
    <x v="2"/>
    <x v="4"/>
    <x v="0"/>
    <n v="4"/>
    <n v="259.27999999999997"/>
    <n v="64.819999999999993"/>
    <n v="0"/>
    <n v="259.27999999999997"/>
    <n v="65.5"/>
    <n v="36"/>
    <x v="0"/>
    <s v="Apple Pay"/>
  </r>
  <r>
    <n v="101007"/>
    <x v="89"/>
    <s v="AD-7876-B"/>
    <s v="Adilette Slides"/>
    <x v="1"/>
    <x v="0"/>
    <x v="1"/>
    <n v="3"/>
    <n v="109.53"/>
    <n v="36.51"/>
    <n v="0"/>
    <n v="109.53"/>
    <n v="37.47"/>
    <n v="30"/>
    <x v="1"/>
    <s v="PayPal"/>
  </r>
  <r>
    <n v="100670"/>
    <x v="81"/>
    <s v="AD-8474-B"/>
    <s v="Predator Freak"/>
    <x v="1"/>
    <x v="0"/>
    <x v="2"/>
    <n v="2"/>
    <n v="414.7"/>
    <n v="207.35"/>
    <n v="10"/>
    <n v="373.23"/>
    <n v="82.8"/>
    <n v="40"/>
    <x v="0"/>
    <s v="Debit Card"/>
  </r>
  <r>
    <n v="100534"/>
    <x v="90"/>
    <s v="AD-9534-A"/>
    <s v="Adilette Slides"/>
    <x v="1"/>
    <x v="0"/>
    <x v="0"/>
    <n v="3"/>
    <n v="100.53"/>
    <n v="33.51"/>
    <n v="5"/>
    <n v="95.5"/>
    <n v="30.96"/>
    <n v="27"/>
    <x v="1"/>
    <s v="Credit Card"/>
  </r>
  <r>
    <n v="100909"/>
    <x v="91"/>
    <s v="AD-6468-B"/>
    <s v="Essentials Tee"/>
    <x v="0"/>
    <x v="4"/>
    <x v="0"/>
    <n v="2"/>
    <n v="51.66"/>
    <n v="25.83"/>
    <n v="0"/>
    <n v="51.66"/>
    <n v="11.22"/>
    <n v="23"/>
    <x v="1"/>
    <s v="UPI"/>
  </r>
  <r>
    <n v="100292"/>
    <x v="92"/>
    <s v="AD-3733-D"/>
    <s v="Copa Sense"/>
    <x v="1"/>
    <x v="1"/>
    <x v="2"/>
    <n v="4"/>
    <n v="638.6"/>
    <n v="159.65"/>
    <n v="5"/>
    <n v="606.66999999999996"/>
    <n v="235.76"/>
    <n v="22"/>
    <x v="0"/>
    <s v="PayPal"/>
  </r>
  <r>
    <n v="100123"/>
    <x v="93"/>
    <s v="AD-6304-A"/>
    <s v="Copa Sense"/>
    <x v="1"/>
    <x v="2"/>
    <x v="0"/>
    <n v="4"/>
    <n v="637.24"/>
    <n v="159.31"/>
    <n v="10"/>
    <n v="573.52"/>
    <n v="164.35"/>
    <n v="21"/>
    <x v="1"/>
    <s v="UPI"/>
  </r>
  <r>
    <n v="100582"/>
    <x v="94"/>
    <s v="AD-7126-B"/>
    <s v="Ultraboost 22"/>
    <x v="1"/>
    <x v="0"/>
    <x v="1"/>
    <n v="1"/>
    <n v="173.04"/>
    <n v="173.04"/>
    <n v="5"/>
    <n v="164.39"/>
    <n v="44.29"/>
    <n v="27"/>
    <x v="1"/>
    <s v="Google Pay"/>
  </r>
  <r>
    <n v="100140"/>
    <x v="95"/>
    <s v="AD-2965-A"/>
    <s v="Adilette Slides"/>
    <x v="1"/>
    <x v="4"/>
    <x v="0"/>
    <n v="1"/>
    <n v="36.07"/>
    <n v="36.07"/>
    <n v="5"/>
    <n v="34.270000000000003"/>
    <n v="6.22"/>
    <n v="34"/>
    <x v="1"/>
    <s v="Cash"/>
  </r>
  <r>
    <n v="100735"/>
    <x v="96"/>
    <s v="AD-7948-B"/>
    <s v="Running Watch Strap"/>
    <x v="2"/>
    <x v="0"/>
    <x v="0"/>
    <n v="5"/>
    <n v="210.55"/>
    <n v="42.11"/>
    <n v="20"/>
    <n v="168.44"/>
    <n v="51.47"/>
    <n v="23"/>
    <x v="0"/>
    <s v="Apple Pay"/>
  </r>
  <r>
    <n v="100081"/>
    <x v="97"/>
    <s v="AD-8699-C"/>
    <s v="Superstar"/>
    <x v="1"/>
    <x v="4"/>
    <x v="0"/>
    <n v="3"/>
    <n v="316.20000000000005"/>
    <n v="105.4"/>
    <n v="20"/>
    <n v="252.96"/>
    <n v="54"/>
    <n v="41"/>
    <x v="1"/>
    <s v="Google Pay"/>
  </r>
  <r>
    <n v="100881"/>
    <x v="98"/>
    <s v="AD-8759-B"/>
    <s v="Ultraboost 22"/>
    <x v="1"/>
    <x v="0"/>
    <x v="0"/>
    <n v="4"/>
    <n v="751.56"/>
    <n v="187.89"/>
    <n v="0"/>
    <n v="751.56"/>
    <n v="230.22"/>
    <n v="20"/>
    <x v="1"/>
    <s v="Debit Card"/>
  </r>
  <r>
    <n v="100739"/>
    <x v="99"/>
    <s v="AD-2953-B"/>
    <s v="Ultraboost 22"/>
    <x v="1"/>
    <x v="1"/>
    <x v="0"/>
    <n v="5"/>
    <n v="882.75"/>
    <n v="176.55"/>
    <n v="0"/>
    <n v="882.75"/>
    <n v="279.52999999999997"/>
    <n v="31"/>
    <x v="1"/>
    <s v="Debit Card"/>
  </r>
  <r>
    <n v="101101"/>
    <x v="100"/>
    <s v="AD-3695-B"/>
    <s v="Essentials Tee"/>
    <x v="0"/>
    <x v="4"/>
    <x v="2"/>
    <n v="1"/>
    <n v="25.42"/>
    <n v="25.42"/>
    <n v="20"/>
    <n v="20.34"/>
    <n v="4.04"/>
    <n v="39"/>
    <x v="1"/>
    <s v="NetBanking"/>
  </r>
  <r>
    <n v="100908"/>
    <x v="101"/>
    <s v="AD-5825-A"/>
    <s v="Ultraboost 22"/>
    <x v="1"/>
    <x v="4"/>
    <x v="1"/>
    <n v="2"/>
    <n v="363.18"/>
    <n v="181.59"/>
    <n v="20"/>
    <n v="290.54000000000002"/>
    <n v="96.12"/>
    <n v="24"/>
    <x v="1"/>
    <s v="Debit Card"/>
  </r>
  <r>
    <n v="101166"/>
    <x v="102"/>
    <s v="AD-9632-B"/>
    <s v="Stan Smith"/>
    <x v="1"/>
    <x v="2"/>
    <x v="1"/>
    <n v="2"/>
    <n v="148.16"/>
    <n v="74.08"/>
    <n v="0"/>
    <n v="148.16"/>
    <n v="37.58"/>
    <n v="41"/>
    <x v="0"/>
    <s v="Google Pay"/>
  </r>
  <r>
    <n v="100936"/>
    <x v="103"/>
    <s v="AD-4105-B"/>
    <s v="Copa Sense"/>
    <x v="1"/>
    <x v="4"/>
    <x v="1"/>
    <n v="2"/>
    <n v="340.68"/>
    <n v="170.34"/>
    <n v="0"/>
    <n v="340.68"/>
    <n v="87.76"/>
    <n v="16"/>
    <x v="0"/>
    <s v="Cash"/>
  </r>
  <r>
    <n v="100371"/>
    <x v="104"/>
    <s v="AD-4860-D"/>
    <s v="Running Watch Strap"/>
    <x v="2"/>
    <x v="4"/>
    <x v="0"/>
    <n v="3"/>
    <n v="117.69"/>
    <n v="39.229999999999997"/>
    <n v="20"/>
    <n v="94.15"/>
    <n v="24.67"/>
    <n v="18"/>
    <x v="1"/>
    <s v="Google Pay"/>
  </r>
  <r>
    <n v="100889"/>
    <x v="105"/>
    <s v="AD-3415-D"/>
    <s v="Running Watch Strap"/>
    <x v="2"/>
    <x v="3"/>
    <x v="1"/>
    <n v="4"/>
    <n v="163.76"/>
    <n v="40.94"/>
    <n v="5"/>
    <n v="155.57"/>
    <n v="37.51"/>
    <n v="35"/>
    <x v="1"/>
    <s v="PayPal"/>
  </r>
  <r>
    <n v="100156"/>
    <x v="106"/>
    <s v="AD-7937-C"/>
    <s v="Primegreen Jacket"/>
    <x v="0"/>
    <x v="1"/>
    <x v="0"/>
    <n v="1"/>
    <n v="128.75"/>
    <n v="128.75"/>
    <n v="0"/>
    <n v="128.75"/>
    <n v="30.12"/>
    <n v="16"/>
    <x v="0"/>
    <s v="Debit Card"/>
  </r>
  <r>
    <n v="100991"/>
    <x v="107"/>
    <s v="AD-4573-B"/>
    <s v="Copa Sense"/>
    <x v="1"/>
    <x v="1"/>
    <x v="1"/>
    <n v="5"/>
    <n v="789.2"/>
    <n v="157.84"/>
    <n v="0"/>
    <n v="789.2"/>
    <n v="266.93"/>
    <n v="22"/>
    <x v="0"/>
    <s v="UPI"/>
  </r>
  <r>
    <n v="100621"/>
    <x v="108"/>
    <s v="AD-8629-B"/>
    <s v="Training Shorts"/>
    <x v="0"/>
    <x v="0"/>
    <x v="1"/>
    <n v="3"/>
    <n v="106.41"/>
    <n v="35.47"/>
    <n v="5"/>
    <n v="101.09"/>
    <n v="28.29"/>
    <n v="25"/>
    <x v="0"/>
    <s v="Debit Card"/>
  </r>
  <r>
    <n v="101037"/>
    <x v="109"/>
    <s v="AD-4473-C"/>
    <s v="Z.N.E. Hoodie"/>
    <x v="0"/>
    <x v="4"/>
    <x v="0"/>
    <n v="2"/>
    <n v="242.28"/>
    <n v="121.14"/>
    <n v="0"/>
    <n v="242.28"/>
    <n v="77.25"/>
    <n v="16"/>
    <x v="0"/>
    <s v="Cash"/>
  </r>
  <r>
    <n v="100244"/>
    <x v="110"/>
    <s v="AD-8586-A"/>
    <s v="Primegreen Jacket"/>
    <x v="0"/>
    <x v="1"/>
    <x v="0"/>
    <n v="4"/>
    <n v="528.44000000000005"/>
    <n v="132.11000000000001"/>
    <n v="20"/>
    <n v="422.75"/>
    <n v="112.31"/>
    <n v="47"/>
    <x v="1"/>
    <s v="PayPal"/>
  </r>
  <r>
    <n v="100158"/>
    <x v="111"/>
    <s v="AD-6517-B"/>
    <s v="Superstar"/>
    <x v="1"/>
    <x v="0"/>
    <x v="1"/>
    <n v="3"/>
    <n v="337.65"/>
    <n v="112.55"/>
    <n v="5"/>
    <n v="320.77"/>
    <n v="85.58"/>
    <n v="31"/>
    <x v="1"/>
    <s v="Credit Card"/>
  </r>
  <r>
    <n v="100745"/>
    <x v="112"/>
    <s v="AD-8635-B"/>
    <s v="Tiro 23 Track Pants"/>
    <x v="0"/>
    <x v="4"/>
    <x v="0"/>
    <n v="2"/>
    <n v="103.18"/>
    <n v="51.59"/>
    <n v="0"/>
    <n v="103.18"/>
    <n v="16.66"/>
    <n v="36"/>
    <x v="0"/>
    <s v="Google Pay"/>
  </r>
  <r>
    <n v="100192"/>
    <x v="113"/>
    <s v="AD-9740-A"/>
    <s v="Superstar"/>
    <x v="1"/>
    <x v="0"/>
    <x v="1"/>
    <n v="6"/>
    <n v="652.62"/>
    <n v="108.77"/>
    <n v="40"/>
    <n v="391.57"/>
    <n v="124.48"/>
    <n v="30"/>
    <x v="1"/>
    <s v="NetBanking"/>
  </r>
  <r>
    <n v="100533"/>
    <x v="37"/>
    <s v="AD-8550-A"/>
    <s v="Adicolor Hoodie"/>
    <x v="0"/>
    <x v="3"/>
    <x v="0"/>
    <n v="3"/>
    <n v="193.26"/>
    <n v="64.42"/>
    <n v="5"/>
    <n v="183.6"/>
    <n v="64.400000000000006"/>
    <n v="31"/>
    <x v="2"/>
    <s v="UPI"/>
  </r>
  <r>
    <n v="100903"/>
    <x v="114"/>
    <s v="AD-3932-C"/>
    <s v="Gym Bag"/>
    <x v="2"/>
    <x v="2"/>
    <x v="1"/>
    <n v="1"/>
    <n v="45.52"/>
    <n v="45.52"/>
    <n v="5"/>
    <n v="43.24"/>
    <n v="16.05"/>
    <n v="34"/>
    <x v="1"/>
    <s v="Google Pay"/>
  </r>
  <r>
    <n v="101003"/>
    <x v="115"/>
    <s v="AD-9818-B"/>
    <s v="Sports Bottle"/>
    <x v="2"/>
    <x v="0"/>
    <x v="1"/>
    <n v="3"/>
    <n v="37.950000000000003"/>
    <n v="12.65"/>
    <n v="5"/>
    <n v="36.049999999999997"/>
    <n v="12.05"/>
    <n v="22"/>
    <x v="1"/>
    <s v="Cash"/>
  </r>
  <r>
    <n v="101069"/>
    <x v="116"/>
    <s v="AD-2429-B"/>
    <s v="Sports Bottle"/>
    <x v="2"/>
    <x v="1"/>
    <x v="1"/>
    <n v="1"/>
    <n v="15.32"/>
    <n v="15.32"/>
    <n v="0"/>
    <n v="15.32"/>
    <n v="5.97"/>
    <n v="33"/>
    <x v="1"/>
    <s v="UPI"/>
  </r>
  <r>
    <n v="100413"/>
    <x v="117"/>
    <s v="AD-8606-A"/>
    <s v="Stan Smith"/>
    <x v="1"/>
    <x v="0"/>
    <x v="1"/>
    <n v="2"/>
    <n v="174.52"/>
    <n v="87.26"/>
    <n v="0"/>
    <n v="174.52"/>
    <n v="46.1"/>
    <n v="31"/>
    <x v="0"/>
    <s v="NetBanking"/>
  </r>
  <r>
    <n v="101186"/>
    <x v="118"/>
    <s v="AD-5742-A"/>
    <s v="Adicolor Hoodie"/>
    <x v="0"/>
    <x v="0"/>
    <x v="1"/>
    <n v="5"/>
    <n v="327.10000000000002"/>
    <n v="65.42"/>
    <n v="20"/>
    <n v="261.68"/>
    <n v="107.88"/>
    <n v="26"/>
    <x v="1"/>
    <s v="NetBanking"/>
  </r>
  <r>
    <n v="100327"/>
    <x v="119"/>
    <s v="AD-7870-B"/>
    <s v="Ultraboost Light"/>
    <x v="1"/>
    <x v="1"/>
    <x v="0"/>
    <n v="1"/>
    <n v="172.06"/>
    <n v="172.06"/>
    <n v="5"/>
    <n v="163.46"/>
    <n v="33.630000000000003"/>
    <n v="27"/>
    <x v="0"/>
    <s v="Credit Card"/>
  </r>
  <r>
    <n v="100128"/>
    <x v="120"/>
    <s v="AD-8046-D"/>
    <s v="Gym Bag"/>
    <x v="2"/>
    <x v="4"/>
    <x v="1"/>
    <n v="1"/>
    <n v="41"/>
    <n v="41"/>
    <n v="0"/>
    <n v="41"/>
    <n v="18.559999999999999"/>
    <n v="33"/>
    <x v="0"/>
    <s v="UPI"/>
  </r>
  <r>
    <n v="100694"/>
    <x v="121"/>
    <s v="AD-2326-C"/>
    <s v="Z.N.E. Hoodie"/>
    <x v="0"/>
    <x v="4"/>
    <x v="1"/>
    <n v="3"/>
    <n v="315.27"/>
    <n v="105.09"/>
    <n v="0"/>
    <n v="315.27"/>
    <n v="121.3"/>
    <n v="33"/>
    <x v="0"/>
    <s v="UPI"/>
  </r>
  <r>
    <n v="100630"/>
    <x v="122"/>
    <s v="AD-3403-B"/>
    <s v="Ultraboost Light"/>
    <x v="1"/>
    <x v="0"/>
    <x v="2"/>
    <n v="4"/>
    <n v="596.28"/>
    <n v="149.07"/>
    <n v="10"/>
    <n v="536.65"/>
    <n v="128.91999999999999"/>
    <n v="27"/>
    <x v="0"/>
    <s v="Credit Card"/>
  </r>
  <r>
    <n v="100274"/>
    <x v="123"/>
    <s v="AD-3910-D"/>
    <s v="NMD_R1"/>
    <x v="1"/>
    <x v="1"/>
    <x v="3"/>
    <n v="2"/>
    <n v="276.89999999999998"/>
    <n v="138.44999999999999"/>
    <n v="10"/>
    <n v="249.21"/>
    <n v="81.96"/>
    <n v="33"/>
    <x v="1"/>
    <s v="Cash"/>
  </r>
  <r>
    <n v="101147"/>
    <x v="47"/>
    <s v="AD-8989-A"/>
    <s v="Training Cap"/>
    <x v="2"/>
    <x v="4"/>
    <x v="0"/>
    <n v="4"/>
    <n v="89.48"/>
    <n v="22.37"/>
    <n v="10"/>
    <n v="80.53"/>
    <n v="21.97"/>
    <n v="18"/>
    <x v="0"/>
    <s v="UPI"/>
  </r>
  <r>
    <n v="100308"/>
    <x v="124"/>
    <s v="AD-2350-C"/>
    <s v="Tiro 23 Track Pants"/>
    <x v="0"/>
    <x v="3"/>
    <x v="0"/>
    <n v="3"/>
    <n v="182.28"/>
    <n v="60.76"/>
    <n v="20"/>
    <n v="145.82"/>
    <n v="35.86"/>
    <n v="37"/>
    <x v="0"/>
    <s v="NetBanking"/>
  </r>
  <r>
    <n v="100233"/>
    <x v="125"/>
    <s v="AD-2044-A"/>
    <s v="Essentials Tee"/>
    <x v="0"/>
    <x v="0"/>
    <x v="1"/>
    <n v="2"/>
    <n v="56.5"/>
    <n v="28.25"/>
    <n v="0"/>
    <n v="56.5"/>
    <n v="20.77"/>
    <n v="16"/>
    <x v="1"/>
    <s v="Cash"/>
  </r>
  <r>
    <n v="101047"/>
    <x v="73"/>
    <s v="AD-3803-B"/>
    <s v="Gym Bag"/>
    <x v="2"/>
    <x v="2"/>
    <x v="0"/>
    <n v="4"/>
    <n v="185.52"/>
    <n v="46.38"/>
    <n v="40"/>
    <n v="111.31"/>
    <n v="39.92"/>
    <n v="27"/>
    <x v="1"/>
    <s v="Debit Card"/>
  </r>
  <r>
    <n v="100622"/>
    <x v="12"/>
    <s v="AD-4796-B"/>
    <s v="Performance Socks (3-pack)"/>
    <x v="2"/>
    <x v="1"/>
    <x v="1"/>
    <n v="5"/>
    <n v="82.15"/>
    <n v="16.43"/>
    <n v="10"/>
    <n v="73.94"/>
    <n v="28.72"/>
    <n v="23"/>
    <x v="0"/>
    <s v="Google Pay"/>
  </r>
  <r>
    <n v="100643"/>
    <x v="126"/>
    <s v="AD-2006-D"/>
    <s v="Tiro 23 Track Pants"/>
    <x v="0"/>
    <x v="4"/>
    <x v="3"/>
    <n v="3"/>
    <n v="171.66"/>
    <n v="57.22"/>
    <n v="5"/>
    <n v="163.08000000000001"/>
    <n v="47.09"/>
    <n v="25"/>
    <x v="0"/>
    <s v="NetBanking"/>
  </r>
  <r>
    <n v="100478"/>
    <x v="114"/>
    <s v="AD-2778-A"/>
    <s v="Z.N.E. Hoodie"/>
    <x v="0"/>
    <x v="0"/>
    <x v="0"/>
    <n v="4"/>
    <n v="399.68"/>
    <n v="99.92"/>
    <n v="0"/>
    <n v="399.68"/>
    <n v="145.79"/>
    <n v="30"/>
    <x v="1"/>
    <s v="PayPal"/>
  </r>
  <r>
    <n v="100471"/>
    <x v="127"/>
    <s v="AD-4651-D"/>
    <s v="Primegreen Jacket"/>
    <x v="0"/>
    <x v="0"/>
    <x v="2"/>
    <n v="4"/>
    <n v="584.52"/>
    <n v="146.13"/>
    <n v="5"/>
    <n v="555.29"/>
    <n v="158.34"/>
    <n v="16"/>
    <x v="1"/>
    <s v="Apple Pay"/>
  </r>
  <r>
    <n v="100925"/>
    <x v="72"/>
    <s v="AD-2565-D"/>
    <s v="Adicolor Hoodie"/>
    <x v="0"/>
    <x v="0"/>
    <x v="0"/>
    <n v="5"/>
    <n v="343.1"/>
    <n v="68.62"/>
    <n v="20"/>
    <n v="274.48"/>
    <n v="76.91"/>
    <n v="39"/>
    <x v="1"/>
    <s v="PayPal"/>
  </r>
  <r>
    <n v="101097"/>
    <x v="128"/>
    <s v="AD-2873-C"/>
    <s v="Z.N.E. Hoodie"/>
    <x v="0"/>
    <x v="1"/>
    <x v="1"/>
    <n v="3"/>
    <n v="378.09000000000003"/>
    <n v="126.03"/>
    <n v="10"/>
    <n v="340.28"/>
    <n v="49.88"/>
    <n v="25"/>
    <x v="1"/>
    <s v="Google Pay"/>
  </r>
  <r>
    <n v="100626"/>
    <x v="69"/>
    <s v="AD-2082-C"/>
    <s v="Running Watch Strap"/>
    <x v="2"/>
    <x v="0"/>
    <x v="1"/>
    <n v="3"/>
    <n v="98.34"/>
    <n v="32.78"/>
    <n v="5"/>
    <n v="93.42"/>
    <n v="23.12"/>
    <n v="33"/>
    <x v="0"/>
    <s v="Apple Pay"/>
  </r>
  <r>
    <n v="100394"/>
    <x v="129"/>
    <s v="AD-9311-C"/>
    <s v="Adicolor Hoodie"/>
    <x v="0"/>
    <x v="0"/>
    <x v="1"/>
    <n v="4"/>
    <n v="260.52"/>
    <n v="65.13"/>
    <n v="0"/>
    <n v="260.52"/>
    <n v="90.54"/>
    <n v="27"/>
    <x v="0"/>
    <s v="Cash"/>
  </r>
  <r>
    <n v="100636"/>
    <x v="130"/>
    <s v="AD-8155-B"/>
    <s v="Predator Freak"/>
    <x v="1"/>
    <x v="4"/>
    <x v="0"/>
    <n v="3"/>
    <n v="685.95"/>
    <n v="228.65"/>
    <n v="10"/>
    <n v="617.36"/>
    <n v="202.8"/>
    <n v="34"/>
    <x v="0"/>
    <s v="Google Pay"/>
  </r>
  <r>
    <n v="100767"/>
    <x v="131"/>
    <s v="AD-4865-D"/>
    <s v="NMD_R1"/>
    <x v="1"/>
    <x v="0"/>
    <x v="0"/>
    <n v="5"/>
    <n v="609.5"/>
    <n v="121.9"/>
    <n v="10"/>
    <n v="548.54999999999995"/>
    <n v="197.81"/>
    <n v="26"/>
    <x v="0"/>
    <s v="Apple Pay"/>
  </r>
  <r>
    <n v="100532"/>
    <x v="132"/>
    <s v="AD-1206-A"/>
    <s v="Primegreen Jacket"/>
    <x v="0"/>
    <x v="1"/>
    <x v="0"/>
    <n v="5"/>
    <n v="665.95"/>
    <n v="133.19"/>
    <n v="10"/>
    <n v="599.36"/>
    <n v="148.43"/>
    <n v="27"/>
    <x v="0"/>
    <s v="Apple Pay"/>
  </r>
  <r>
    <n v="100717"/>
    <x v="133"/>
    <s v="AD-4264-B"/>
    <s v="Ultraboost 22"/>
    <x v="1"/>
    <x v="2"/>
    <x v="0"/>
    <n v="3"/>
    <n v="493.16999999999996"/>
    <n v="164.39"/>
    <n v="5"/>
    <n v="468.51"/>
    <n v="126.16"/>
    <n v="24"/>
    <x v="0"/>
    <s v="PayPal"/>
  </r>
  <r>
    <n v="100666"/>
    <x v="134"/>
    <s v="AD-9015-D"/>
    <s v="Performance Socks (3-pack)"/>
    <x v="2"/>
    <x v="4"/>
    <x v="0"/>
    <n v="3"/>
    <n v="44.55"/>
    <n v="14.85"/>
    <n v="0"/>
    <n v="44.55"/>
    <n v="18.43"/>
    <n v="37"/>
    <x v="0"/>
    <s v="UPI"/>
  </r>
  <r>
    <n v="100597"/>
    <x v="135"/>
    <s v="AD-2784-D"/>
    <s v="Ultraboost Light"/>
    <x v="1"/>
    <x v="2"/>
    <x v="0"/>
    <n v="4"/>
    <n v="653.55999999999995"/>
    <n v="163.38999999999999"/>
    <n v="0"/>
    <n v="653.55999999999995"/>
    <n v="153.12"/>
    <n v="44"/>
    <x v="0"/>
    <s v="Credit Card"/>
  </r>
  <r>
    <n v="100481"/>
    <x v="136"/>
    <s v="AD-9553-D"/>
    <s v="NMD_R1"/>
    <x v="1"/>
    <x v="4"/>
    <x v="3"/>
    <n v="3"/>
    <n v="349.92"/>
    <n v="116.64"/>
    <n v="0"/>
    <n v="349.92"/>
    <n v="99.73"/>
    <n v="29"/>
    <x v="0"/>
    <s v="Apple Pay"/>
  </r>
  <r>
    <n v="101102"/>
    <x v="137"/>
    <s v="AD-6811-D"/>
    <s v="Originals Backpack"/>
    <x v="2"/>
    <x v="1"/>
    <x v="1"/>
    <n v="3"/>
    <n v="187.02"/>
    <n v="62.34"/>
    <n v="5"/>
    <n v="177.67"/>
    <n v="80.61"/>
    <n v="16"/>
    <x v="0"/>
    <s v="Apple Pay"/>
  </r>
  <r>
    <n v="100314"/>
    <x v="138"/>
    <s v="AD-6759-D"/>
    <s v="Adilette Slides"/>
    <x v="1"/>
    <x v="4"/>
    <x v="1"/>
    <n v="1"/>
    <n v="36.619999999999997"/>
    <n v="36.619999999999997"/>
    <n v="10"/>
    <n v="32.96"/>
    <n v="10.42"/>
    <n v="23"/>
    <x v="0"/>
    <s v="Apple Pay"/>
  </r>
  <r>
    <n v="100728"/>
    <x v="139"/>
    <s v="AD-1471-A"/>
    <s v="Performance Socks (3-pack)"/>
    <x v="2"/>
    <x v="0"/>
    <x v="1"/>
    <n v="6"/>
    <n v="101.10000000000001"/>
    <n v="16.850000000000001"/>
    <n v="0"/>
    <n v="101.1"/>
    <n v="19.86"/>
    <n v="33"/>
    <x v="1"/>
    <s v="NetBanking"/>
  </r>
  <r>
    <n v="100209"/>
    <x v="140"/>
    <s v="AD-1517-A"/>
    <s v="Gym Bag"/>
    <x v="2"/>
    <x v="0"/>
    <x v="2"/>
    <n v="4"/>
    <n v="186.52"/>
    <n v="46.63"/>
    <n v="0"/>
    <n v="186.52"/>
    <n v="50.18"/>
    <n v="33"/>
    <x v="1"/>
    <s v="UPI"/>
  </r>
  <r>
    <n v="100933"/>
    <x v="141"/>
    <s v="AD-7399-C"/>
    <s v="Ultraboost Light"/>
    <x v="1"/>
    <x v="0"/>
    <x v="1"/>
    <n v="4"/>
    <n v="642.55999999999995"/>
    <n v="160.63999999999999"/>
    <n v="0"/>
    <n v="642.55999999999995"/>
    <n v="185.67"/>
    <n v="30"/>
    <x v="0"/>
    <s v="Debit Card"/>
  </r>
  <r>
    <n v="100433"/>
    <x v="142"/>
    <s v="AD-8419-B"/>
    <s v="NMD_R1"/>
    <x v="1"/>
    <x v="0"/>
    <x v="0"/>
    <n v="2"/>
    <n v="289.16000000000003"/>
    <n v="144.58000000000001"/>
    <n v="0"/>
    <n v="289.16000000000003"/>
    <n v="96.15"/>
    <n v="17"/>
    <x v="0"/>
    <s v="NetBanking"/>
  </r>
  <r>
    <n v="100328"/>
    <x v="143"/>
    <s v="AD-2956-A"/>
    <s v="Adicolor Hoodie"/>
    <x v="0"/>
    <x v="0"/>
    <x v="0"/>
    <n v="3"/>
    <n v="183"/>
    <n v="61"/>
    <n v="5"/>
    <n v="173.85"/>
    <n v="56.81"/>
    <n v="37"/>
    <x v="1"/>
    <s v="Cash"/>
  </r>
  <r>
    <n v="100260"/>
    <x v="144"/>
    <s v="AD-4764-B"/>
    <s v="Originals Backpack"/>
    <x v="2"/>
    <x v="1"/>
    <x v="3"/>
    <n v="3"/>
    <n v="196.82999999999998"/>
    <n v="65.61"/>
    <n v="0"/>
    <n v="196.83"/>
    <n v="53.06"/>
    <n v="41"/>
    <x v="0"/>
    <s v="Credit Card"/>
  </r>
  <r>
    <n v="101116"/>
    <x v="145"/>
    <s v="AD-4784-A"/>
    <s v="Primegreen Jacket"/>
    <x v="0"/>
    <x v="4"/>
    <x v="2"/>
    <n v="2"/>
    <n v="283.06"/>
    <n v="141.53"/>
    <n v="0"/>
    <n v="283.06"/>
    <n v="79.69"/>
    <n v="24"/>
    <x v="1"/>
    <s v="Apple Pay"/>
  </r>
  <r>
    <n v="100306"/>
    <x v="146"/>
    <s v="AD-1752-A"/>
    <s v="Running Watch Strap"/>
    <x v="2"/>
    <x v="2"/>
    <x v="1"/>
    <n v="2"/>
    <n v="82.04"/>
    <n v="41.02"/>
    <n v="10"/>
    <n v="73.84"/>
    <n v="24.2"/>
    <n v="29"/>
    <x v="0"/>
    <s v="Credit Card"/>
  </r>
  <r>
    <n v="101066"/>
    <x v="147"/>
    <s v="AD-5562-B"/>
    <s v="Performance Socks (3-pack)"/>
    <x v="2"/>
    <x v="0"/>
    <x v="1"/>
    <n v="1"/>
    <n v="17.850000000000001"/>
    <n v="17.850000000000001"/>
    <n v="0"/>
    <n v="17.850000000000001"/>
    <n v="6.66"/>
    <n v="25"/>
    <x v="1"/>
    <s v="Apple Pay"/>
  </r>
  <r>
    <n v="100927"/>
    <x v="148"/>
    <s v="AD-9264-C"/>
    <s v="Training Cap"/>
    <x v="2"/>
    <x v="0"/>
    <x v="0"/>
    <n v="3"/>
    <n v="72.33"/>
    <n v="24.11"/>
    <n v="5"/>
    <n v="68.709999999999994"/>
    <n v="20.82"/>
    <n v="33"/>
    <x v="1"/>
    <s v="Debit Card"/>
  </r>
  <r>
    <n v="101024"/>
    <x v="149"/>
    <s v="AD-8058-D"/>
    <s v="Stan Smith"/>
    <x v="1"/>
    <x v="2"/>
    <x v="0"/>
    <n v="2"/>
    <n v="174"/>
    <n v="87"/>
    <n v="10"/>
    <n v="156.6"/>
    <n v="48.93"/>
    <n v="42"/>
    <x v="1"/>
    <s v="Debit Card"/>
  </r>
  <r>
    <n v="100270"/>
    <x v="150"/>
    <s v="AD-9537-B"/>
    <s v="Primegreen Jacket"/>
    <x v="0"/>
    <x v="0"/>
    <x v="1"/>
    <n v="3"/>
    <n v="400.02"/>
    <n v="133.34"/>
    <n v="0"/>
    <n v="400.02"/>
    <n v="81.25"/>
    <n v="28"/>
    <x v="2"/>
    <s v="UPI"/>
  </r>
  <r>
    <n v="100290"/>
    <x v="151"/>
    <s v="AD-3194-C"/>
    <s v="Performance Socks (3-pack)"/>
    <x v="2"/>
    <x v="0"/>
    <x v="1"/>
    <n v="3"/>
    <n v="54.599999999999994"/>
    <n v="18.2"/>
    <n v="0"/>
    <n v="54.6"/>
    <n v="11.26"/>
    <n v="38"/>
    <x v="1"/>
    <s v="Debit Card"/>
  </r>
  <r>
    <n v="100812"/>
    <x v="152"/>
    <s v="AD-4083-A"/>
    <s v="Primegreen Jacket"/>
    <x v="0"/>
    <x v="4"/>
    <x v="0"/>
    <n v="3"/>
    <n v="435.90000000000003"/>
    <n v="145.30000000000001"/>
    <n v="0"/>
    <n v="435.9"/>
    <n v="105.17"/>
    <n v="36"/>
    <x v="1"/>
    <s v="Credit Card"/>
  </r>
  <r>
    <n v="100096"/>
    <x v="153"/>
    <s v="AD-4090-B"/>
    <s v="Sports Bottle"/>
    <x v="2"/>
    <x v="1"/>
    <x v="1"/>
    <n v="1"/>
    <n v="14.47"/>
    <n v="14.47"/>
    <n v="5"/>
    <n v="13.75"/>
    <n v="6.06"/>
    <n v="22"/>
    <x v="1"/>
    <s v="Cash"/>
  </r>
  <r>
    <n v="100887"/>
    <x v="154"/>
    <s v="AD-3064-C"/>
    <s v="Adilette Slides"/>
    <x v="1"/>
    <x v="4"/>
    <x v="1"/>
    <n v="2"/>
    <n v="63.92"/>
    <n v="31.96"/>
    <n v="10"/>
    <n v="57.53"/>
    <n v="20.43"/>
    <n v="27"/>
    <x v="0"/>
    <s v="UPI"/>
  </r>
  <r>
    <n v="100818"/>
    <x v="155"/>
    <s v="AD-8755-A"/>
    <s v="Ultraboost 22"/>
    <x v="1"/>
    <x v="1"/>
    <x v="0"/>
    <n v="3"/>
    <n v="492.81000000000006"/>
    <n v="164.27"/>
    <n v="5"/>
    <n v="468.17"/>
    <n v="143.62"/>
    <n v="30"/>
    <x v="0"/>
    <s v="Apple Pay"/>
  </r>
  <r>
    <n v="100031"/>
    <x v="156"/>
    <s v="AD-2127-B"/>
    <s v="Running Watch Strap"/>
    <x v="2"/>
    <x v="4"/>
    <x v="0"/>
    <n v="6"/>
    <n v="218.28000000000003"/>
    <n v="36.380000000000003"/>
    <n v="0"/>
    <n v="218.28"/>
    <n v="51.1"/>
    <n v="23"/>
    <x v="1"/>
    <s v="Cash"/>
  </r>
  <r>
    <n v="100762"/>
    <x v="157"/>
    <s v="AD-8952-D"/>
    <s v="Adicolor Hoodie"/>
    <x v="0"/>
    <x v="4"/>
    <x v="0"/>
    <n v="3"/>
    <n v="203.49"/>
    <n v="67.83"/>
    <n v="10"/>
    <n v="183.14"/>
    <n v="47.92"/>
    <n v="27"/>
    <x v="0"/>
    <s v="Google Pay"/>
  </r>
  <r>
    <n v="100953"/>
    <x v="158"/>
    <s v="AD-8688-B"/>
    <s v="Tiro 23 Track Pants"/>
    <x v="0"/>
    <x v="1"/>
    <x v="1"/>
    <n v="4"/>
    <n v="223.2"/>
    <n v="55.8"/>
    <n v="5"/>
    <n v="212.04"/>
    <n v="65.12"/>
    <n v="20"/>
    <x v="1"/>
    <s v="PayPal"/>
  </r>
  <r>
    <n v="100319"/>
    <x v="159"/>
    <s v="AD-9209-D"/>
    <s v="Essentials Tee"/>
    <x v="0"/>
    <x v="2"/>
    <x v="3"/>
    <n v="3"/>
    <n v="82.35"/>
    <n v="27.45"/>
    <n v="20"/>
    <n v="65.88"/>
    <n v="13.79"/>
    <n v="39"/>
    <x v="1"/>
    <s v="NetBanking"/>
  </r>
  <r>
    <n v="100298"/>
    <x v="160"/>
    <s v="AD-4438-C"/>
    <s v="Essentials Tee"/>
    <x v="0"/>
    <x v="0"/>
    <x v="0"/>
    <n v="2"/>
    <n v="53.18"/>
    <n v="26.59"/>
    <n v="5"/>
    <n v="50.52"/>
    <n v="10.34"/>
    <n v="33"/>
    <x v="2"/>
    <s v="UPI"/>
  </r>
  <r>
    <n v="100199"/>
    <x v="161"/>
    <s v="AD-9171-C"/>
    <s v="Z.N.E. Hoodie"/>
    <x v="0"/>
    <x v="0"/>
    <x v="0"/>
    <n v="1"/>
    <n v="127.46"/>
    <n v="127.46"/>
    <n v="0"/>
    <n v="127.46"/>
    <n v="39.47"/>
    <n v="32"/>
    <x v="1"/>
    <s v="Google Pay"/>
  </r>
  <r>
    <n v="100560"/>
    <x v="16"/>
    <s v="AD-1827-D"/>
    <s v="Ultraboost Light"/>
    <x v="1"/>
    <x v="0"/>
    <x v="0"/>
    <n v="5"/>
    <n v="770.05"/>
    <n v="154.01"/>
    <n v="5"/>
    <n v="731.55"/>
    <n v="213.79"/>
    <n v="26"/>
    <x v="0"/>
    <s v="PayPal"/>
  </r>
  <r>
    <n v="100178"/>
    <x v="162"/>
    <s v="AD-9937-C"/>
    <s v="Gym Bag"/>
    <x v="2"/>
    <x v="4"/>
    <x v="0"/>
    <n v="3"/>
    <n v="121.17"/>
    <n v="40.39"/>
    <n v="40"/>
    <n v="72.7"/>
    <n v="28.43"/>
    <n v="29"/>
    <x v="1"/>
    <s v="PayPal"/>
  </r>
  <r>
    <n v="101131"/>
    <x v="24"/>
    <s v="AD-8363-B"/>
    <s v="Primegreen Jacket"/>
    <x v="0"/>
    <x v="0"/>
    <x v="0"/>
    <n v="5"/>
    <n v="740.8"/>
    <n v="148.16"/>
    <n v="5"/>
    <n v="703.76"/>
    <n v="201.68"/>
    <n v="26"/>
    <x v="0"/>
    <s v="Debit Card"/>
  </r>
  <r>
    <n v="100088"/>
    <x v="163"/>
    <s v="AD-9117-C"/>
    <s v="Training Shorts"/>
    <x v="0"/>
    <x v="1"/>
    <x v="0"/>
    <n v="3"/>
    <n v="86.01"/>
    <n v="28.67"/>
    <n v="5"/>
    <n v="81.709999999999994"/>
    <n v="17.010000000000002"/>
    <n v="34"/>
    <x v="1"/>
    <s v="Apple Pay"/>
  </r>
  <r>
    <n v="100787"/>
    <x v="148"/>
    <s v="AD-1087-C"/>
    <s v="Training Shorts"/>
    <x v="0"/>
    <x v="3"/>
    <x v="3"/>
    <n v="2"/>
    <n v="60.72"/>
    <n v="30.36"/>
    <n v="0"/>
    <n v="60.72"/>
    <n v="10.79"/>
    <n v="30"/>
    <x v="0"/>
    <s v="Credit Card"/>
  </r>
  <r>
    <n v="100724"/>
    <x v="164"/>
    <s v="AD-6180-C"/>
    <s v="Adilette Slides"/>
    <x v="1"/>
    <x v="4"/>
    <x v="0"/>
    <n v="2"/>
    <n v="70.78"/>
    <n v="35.39"/>
    <n v="0"/>
    <n v="70.78"/>
    <n v="24.76"/>
    <n v="21"/>
    <x v="0"/>
    <s v="Cash"/>
  </r>
  <r>
    <n v="100826"/>
    <x v="165"/>
    <s v="AD-2734-A"/>
    <s v="Ultraboost Light"/>
    <x v="1"/>
    <x v="1"/>
    <x v="1"/>
    <n v="4"/>
    <n v="594.48"/>
    <n v="148.62"/>
    <n v="0"/>
    <n v="594.48"/>
    <n v="166.9"/>
    <n v="21"/>
    <x v="0"/>
    <s v="Debit Card"/>
  </r>
  <r>
    <n v="100208"/>
    <x v="166"/>
    <s v="AD-1841-D"/>
    <s v="Training Cap"/>
    <x v="2"/>
    <x v="0"/>
    <x v="3"/>
    <n v="3"/>
    <n v="69.87"/>
    <n v="23.29"/>
    <n v="40"/>
    <n v="41.92"/>
    <n v="13.6"/>
    <n v="31"/>
    <x v="0"/>
    <s v="UPI"/>
  </r>
  <r>
    <n v="101039"/>
    <x v="167"/>
    <s v="AD-6920-C"/>
    <s v="Stan Smith"/>
    <x v="1"/>
    <x v="0"/>
    <x v="1"/>
    <n v="4"/>
    <n v="352.76"/>
    <n v="88.19"/>
    <n v="0"/>
    <n v="352.76"/>
    <n v="102.78"/>
    <n v="35"/>
    <x v="1"/>
    <s v="Cash"/>
  </r>
  <r>
    <n v="100296"/>
    <x v="168"/>
    <s v="AD-5389-C"/>
    <s v="Performance Socks (3-pack)"/>
    <x v="2"/>
    <x v="0"/>
    <x v="1"/>
    <n v="3"/>
    <n v="54.449999999999996"/>
    <n v="18.149999999999999"/>
    <n v="0"/>
    <n v="54.45"/>
    <n v="13.66"/>
    <n v="30"/>
    <x v="1"/>
    <s v="Debit Card"/>
  </r>
  <r>
    <n v="100997"/>
    <x v="169"/>
    <s v="AD-5888-B"/>
    <s v="Stan Smith"/>
    <x v="1"/>
    <x v="4"/>
    <x v="1"/>
    <n v="2"/>
    <n v="146.24"/>
    <n v="73.12"/>
    <n v="0"/>
    <n v="146.24"/>
    <n v="45.75"/>
    <n v="39"/>
    <x v="0"/>
    <s v="Apple Pay"/>
  </r>
  <r>
    <n v="100497"/>
    <x v="170"/>
    <s v="AD-8548-A"/>
    <s v="Performance Socks (3-pack)"/>
    <x v="2"/>
    <x v="0"/>
    <x v="1"/>
    <n v="3"/>
    <n v="53.760000000000005"/>
    <n v="17.920000000000002"/>
    <n v="0"/>
    <n v="53.76"/>
    <n v="19.989999999999998"/>
    <n v="22"/>
    <x v="0"/>
    <s v="Google Pay"/>
  </r>
  <r>
    <n v="100834"/>
    <x v="171"/>
    <s v="AD-6638-A"/>
    <s v="Primegreen Jacket"/>
    <x v="0"/>
    <x v="0"/>
    <x v="2"/>
    <n v="2"/>
    <n v="308.39999999999998"/>
    <n v="154.19999999999999"/>
    <n v="0"/>
    <n v="308.39999999999998"/>
    <n v="91.69"/>
    <n v="17"/>
    <x v="0"/>
    <s v="Cash"/>
  </r>
  <r>
    <n v="100429"/>
    <x v="172"/>
    <s v="AD-6536-A"/>
    <s v="Adilette Slides"/>
    <x v="1"/>
    <x v="3"/>
    <x v="0"/>
    <n v="1"/>
    <n v="32.9"/>
    <n v="32.9"/>
    <n v="20"/>
    <n v="26.32"/>
    <n v="8.7899999999999991"/>
    <n v="20"/>
    <x v="1"/>
    <s v="UPI"/>
  </r>
  <r>
    <n v="100506"/>
    <x v="44"/>
    <s v="AD-9987-C"/>
    <s v="Adilette Slides"/>
    <x v="1"/>
    <x v="4"/>
    <x v="0"/>
    <n v="6"/>
    <n v="243.78000000000003"/>
    <n v="40.630000000000003"/>
    <n v="5"/>
    <n v="231.59"/>
    <n v="81.33"/>
    <n v="23"/>
    <x v="0"/>
    <s v="PayPal"/>
  </r>
  <r>
    <n v="100830"/>
    <x v="173"/>
    <s v="AD-3483-D"/>
    <s v="Copa Sense"/>
    <x v="1"/>
    <x v="1"/>
    <x v="1"/>
    <n v="2"/>
    <n v="316.77999999999997"/>
    <n v="158.38999999999999"/>
    <n v="10"/>
    <n v="285.10000000000002"/>
    <n v="99.32"/>
    <n v="37"/>
    <x v="1"/>
    <s v="UPI"/>
  </r>
  <r>
    <n v="100693"/>
    <x v="174"/>
    <s v="AD-1022-A"/>
    <s v="Predator Freak"/>
    <x v="1"/>
    <x v="1"/>
    <x v="1"/>
    <n v="2"/>
    <n v="476.88"/>
    <n v="238.44"/>
    <n v="0"/>
    <n v="476.88"/>
    <n v="148.19"/>
    <n v="25"/>
    <x v="1"/>
    <s v="Google Pay"/>
  </r>
  <r>
    <n v="100010"/>
    <x v="175"/>
    <s v="AD-7916-A"/>
    <s v="Predator Freak"/>
    <x v="1"/>
    <x v="4"/>
    <x v="0"/>
    <n v="1"/>
    <n v="225.7"/>
    <n v="225.7"/>
    <n v="0"/>
    <n v="225.7"/>
    <n v="63.36"/>
    <n v="34"/>
    <x v="1"/>
    <s v="PayPal"/>
  </r>
  <r>
    <n v="100847"/>
    <x v="9"/>
    <s v="AD-5968-C"/>
    <s v="Training Shorts"/>
    <x v="0"/>
    <x v="4"/>
    <x v="0"/>
    <n v="2"/>
    <n v="58.3"/>
    <n v="29.15"/>
    <n v="0"/>
    <n v="58.3"/>
    <n v="12.32"/>
    <n v="34"/>
    <x v="1"/>
    <s v="Cash"/>
  </r>
  <r>
    <n v="100462"/>
    <x v="168"/>
    <s v="AD-6889-B"/>
    <s v="Ultraboost 22"/>
    <x v="1"/>
    <x v="0"/>
    <x v="1"/>
    <n v="1"/>
    <n v="182.22"/>
    <n v="182.22"/>
    <n v="5"/>
    <n v="173.11"/>
    <n v="66.75"/>
    <n v="35"/>
    <x v="0"/>
    <s v="NetBanking"/>
  </r>
  <r>
    <n v="100198"/>
    <x v="23"/>
    <s v="AD-5067-B"/>
    <s v="Essentials Tee"/>
    <x v="0"/>
    <x v="4"/>
    <x v="0"/>
    <n v="3"/>
    <n v="78.900000000000006"/>
    <n v="26.3"/>
    <n v="5"/>
    <n v="74.95"/>
    <n v="13.9"/>
    <n v="41"/>
    <x v="0"/>
    <s v="Apple Pay"/>
  </r>
  <r>
    <n v="100059"/>
    <x v="176"/>
    <s v="AD-3223-D"/>
    <s v="Sports Bottle"/>
    <x v="2"/>
    <x v="1"/>
    <x v="1"/>
    <n v="4"/>
    <n v="64.48"/>
    <n v="16.12"/>
    <n v="10"/>
    <n v="58.03"/>
    <n v="18.05"/>
    <n v="25"/>
    <x v="1"/>
    <s v="Apple Pay"/>
  </r>
  <r>
    <n v="100906"/>
    <x v="177"/>
    <s v="AD-1674-D"/>
    <s v="Sports Bottle"/>
    <x v="2"/>
    <x v="0"/>
    <x v="0"/>
    <n v="3"/>
    <n v="49.199999999999996"/>
    <n v="16.399999999999999"/>
    <n v="10"/>
    <n v="44.28"/>
    <n v="16.260000000000002"/>
    <n v="32"/>
    <x v="1"/>
    <s v="UPI"/>
  </r>
  <r>
    <n v="100996"/>
    <x v="178"/>
    <s v="AD-1377-D"/>
    <s v="Performance Socks (3-pack)"/>
    <x v="2"/>
    <x v="4"/>
    <x v="0"/>
    <n v="5"/>
    <n v="91.25"/>
    <n v="18.25"/>
    <n v="5"/>
    <n v="86.69"/>
    <n v="22.75"/>
    <n v="33"/>
    <x v="1"/>
    <s v="UPI"/>
  </r>
  <r>
    <n v="100275"/>
    <x v="179"/>
    <s v="AD-6339-D"/>
    <s v="Z.N.E. Hoodie"/>
    <x v="0"/>
    <x v="0"/>
    <x v="1"/>
    <n v="4"/>
    <n v="507.8"/>
    <n v="126.95"/>
    <n v="5"/>
    <n v="482.41"/>
    <n v="187.5"/>
    <n v="34"/>
    <x v="0"/>
    <s v="UPI"/>
  </r>
  <r>
    <n v="100808"/>
    <x v="35"/>
    <s v="AD-6143-D"/>
    <s v="Performance Socks (3-pack)"/>
    <x v="2"/>
    <x v="4"/>
    <x v="0"/>
    <n v="5"/>
    <n v="101.05000000000001"/>
    <n v="20.21"/>
    <n v="20"/>
    <n v="80.84"/>
    <n v="26.86"/>
    <n v="31"/>
    <x v="1"/>
    <s v="NetBanking"/>
  </r>
  <r>
    <n v="100907"/>
    <x v="180"/>
    <s v="AD-6194-C"/>
    <s v="NMD_R1"/>
    <x v="1"/>
    <x v="1"/>
    <x v="0"/>
    <n v="2"/>
    <n v="268.18"/>
    <n v="134.09"/>
    <n v="5"/>
    <n v="254.77"/>
    <n v="106.21"/>
    <n v="28"/>
    <x v="1"/>
    <s v="Google Pay"/>
  </r>
  <r>
    <n v="100657"/>
    <x v="22"/>
    <s v="AD-6450-A"/>
    <s v="Z.N.E. Hoodie"/>
    <x v="0"/>
    <x v="0"/>
    <x v="0"/>
    <n v="3"/>
    <n v="372.21"/>
    <n v="124.07"/>
    <n v="40"/>
    <n v="223.33"/>
    <n v="64.64"/>
    <n v="30"/>
    <x v="1"/>
    <s v="Apple Pay"/>
  </r>
  <r>
    <n v="100956"/>
    <x v="53"/>
    <s v="AD-9349-D"/>
    <s v="Running Watch Strap"/>
    <x v="2"/>
    <x v="0"/>
    <x v="3"/>
    <n v="6"/>
    <n v="259.74"/>
    <n v="43.29"/>
    <n v="20"/>
    <n v="207.79"/>
    <n v="75.87"/>
    <n v="21"/>
    <x v="0"/>
    <s v="Cash"/>
  </r>
  <r>
    <n v="100885"/>
    <x v="181"/>
    <s v="AD-8428-D"/>
    <s v="Primegreen Jacket"/>
    <x v="0"/>
    <x v="0"/>
    <x v="0"/>
    <n v="3"/>
    <n v="387.68999999999994"/>
    <n v="129.22999999999999"/>
    <n v="5"/>
    <n v="368.31"/>
    <n v="85.65"/>
    <n v="30"/>
    <x v="0"/>
    <s v="Credit Card"/>
  </r>
  <r>
    <n v="100220"/>
    <x v="182"/>
    <s v="AD-9116-B"/>
    <s v="Copa Sense"/>
    <x v="1"/>
    <x v="2"/>
    <x v="3"/>
    <n v="2"/>
    <n v="308.38"/>
    <n v="154.19"/>
    <n v="5"/>
    <n v="292.95999999999998"/>
    <n v="87.6"/>
    <n v="41"/>
    <x v="1"/>
    <s v="Apple Pay"/>
  </r>
  <r>
    <n v="100788"/>
    <x v="183"/>
    <s v="AD-3938-C"/>
    <s v="NMD_R1"/>
    <x v="1"/>
    <x v="3"/>
    <x v="1"/>
    <n v="4"/>
    <n v="495.84"/>
    <n v="123.96"/>
    <n v="5"/>
    <n v="471.05"/>
    <n v="135.24"/>
    <n v="36"/>
    <x v="1"/>
    <s v="Credit Card"/>
  </r>
  <r>
    <n v="100711"/>
    <x v="2"/>
    <s v="AD-5553-B"/>
    <s v="Adicolor Hoodie"/>
    <x v="0"/>
    <x v="4"/>
    <x v="0"/>
    <n v="3"/>
    <n v="218.64"/>
    <n v="72.88"/>
    <n v="5"/>
    <n v="207.71"/>
    <n v="68.010000000000005"/>
    <n v="40"/>
    <x v="0"/>
    <s v="UPI"/>
  </r>
  <r>
    <n v="100713"/>
    <x v="184"/>
    <s v="AD-8006-C"/>
    <s v="NMD_R1"/>
    <x v="1"/>
    <x v="3"/>
    <x v="2"/>
    <n v="1"/>
    <n v="111.35"/>
    <n v="111.35"/>
    <n v="0"/>
    <n v="111.35"/>
    <n v="32.659999999999997"/>
    <n v="33"/>
    <x v="1"/>
    <s v="PayPal"/>
  </r>
  <r>
    <n v="101112"/>
    <x v="185"/>
    <s v="AD-1124-C"/>
    <s v="Stan Smith"/>
    <x v="1"/>
    <x v="0"/>
    <x v="1"/>
    <n v="2"/>
    <n v="186.06"/>
    <n v="93.03"/>
    <n v="5"/>
    <n v="176.76"/>
    <n v="56.59"/>
    <n v="30"/>
    <x v="0"/>
    <s v="Apple Pay"/>
  </r>
  <r>
    <n v="101190"/>
    <x v="137"/>
    <s v="AD-8528-B"/>
    <s v="Gym Bag"/>
    <x v="2"/>
    <x v="4"/>
    <x v="1"/>
    <n v="1"/>
    <n v="46.08"/>
    <n v="46.08"/>
    <n v="5"/>
    <n v="43.78"/>
    <n v="12.68"/>
    <n v="28"/>
    <x v="1"/>
    <s v="Cash"/>
  </r>
  <r>
    <n v="100789"/>
    <x v="186"/>
    <s v="AD-3323-C"/>
    <s v="Gym Bag"/>
    <x v="2"/>
    <x v="1"/>
    <x v="1"/>
    <n v="1"/>
    <n v="45.53"/>
    <n v="45.53"/>
    <n v="5"/>
    <n v="43.25"/>
    <n v="14.41"/>
    <n v="34"/>
    <x v="1"/>
    <s v="Apple Pay"/>
  </r>
  <r>
    <n v="100415"/>
    <x v="28"/>
    <s v="AD-5395-A"/>
    <s v="Ultraboost Light"/>
    <x v="1"/>
    <x v="4"/>
    <x v="1"/>
    <n v="3"/>
    <n v="470.61"/>
    <n v="156.87"/>
    <n v="10"/>
    <n v="423.55"/>
    <n v="165.28"/>
    <n v="28"/>
    <x v="1"/>
    <s v="Google Pay"/>
  </r>
  <r>
    <n v="100898"/>
    <x v="187"/>
    <s v="AD-6544-B"/>
    <s v="Stan Smith"/>
    <x v="1"/>
    <x v="0"/>
    <x v="0"/>
    <n v="3"/>
    <n v="237.45000000000002"/>
    <n v="79.150000000000006"/>
    <n v="10"/>
    <n v="213.71"/>
    <n v="55.45"/>
    <n v="41"/>
    <x v="0"/>
    <s v="Debit Card"/>
  </r>
  <r>
    <n v="100934"/>
    <x v="188"/>
    <s v="AD-7138-B"/>
    <s v="Ultraboost Light"/>
    <x v="1"/>
    <x v="4"/>
    <x v="0"/>
    <n v="3"/>
    <n v="456.93"/>
    <n v="152.31"/>
    <n v="0"/>
    <n v="456.93"/>
    <n v="191.73"/>
    <n v="22"/>
    <x v="1"/>
    <s v="UPI"/>
  </r>
  <r>
    <n v="100265"/>
    <x v="189"/>
    <s v="AD-8075-B"/>
    <s v="Essentials Tee"/>
    <x v="0"/>
    <x v="1"/>
    <x v="0"/>
    <n v="2"/>
    <n v="54.64"/>
    <n v="27.32"/>
    <n v="0"/>
    <n v="54.64"/>
    <n v="16.23"/>
    <n v="24"/>
    <x v="0"/>
    <s v="Apple Pay"/>
  </r>
  <r>
    <n v="100631"/>
    <x v="190"/>
    <s v="AD-5910-C"/>
    <s v="Sports Bottle"/>
    <x v="2"/>
    <x v="0"/>
    <x v="0"/>
    <n v="2"/>
    <n v="27.68"/>
    <n v="13.84"/>
    <n v="5"/>
    <n v="26.3"/>
    <n v="12.66"/>
    <n v="39"/>
    <x v="1"/>
    <s v="Cash"/>
  </r>
  <r>
    <n v="100247"/>
    <x v="191"/>
    <s v="AD-4422-C"/>
    <s v="Superstar"/>
    <x v="1"/>
    <x v="0"/>
    <x v="1"/>
    <n v="5"/>
    <n v="461.59999999999997"/>
    <n v="92.32"/>
    <n v="20"/>
    <n v="369.28"/>
    <n v="110.32"/>
    <n v="36"/>
    <x v="0"/>
    <s v="Google Pay"/>
  </r>
  <r>
    <n v="100682"/>
    <x v="192"/>
    <s v="AD-4769-A"/>
    <s v="Performance Socks (3-pack)"/>
    <x v="2"/>
    <x v="1"/>
    <x v="0"/>
    <n v="3"/>
    <n v="52.44"/>
    <n v="17.48"/>
    <n v="0"/>
    <n v="52.44"/>
    <n v="14.63"/>
    <n v="28"/>
    <x v="0"/>
    <s v="Cash"/>
  </r>
  <r>
    <n v="100558"/>
    <x v="193"/>
    <s v="AD-7824-A"/>
    <s v="Running Watch Strap"/>
    <x v="2"/>
    <x v="0"/>
    <x v="3"/>
    <n v="1"/>
    <n v="44.85"/>
    <n v="44.85"/>
    <n v="5"/>
    <n v="42.61"/>
    <n v="15.86"/>
    <n v="33"/>
    <x v="1"/>
    <s v="Apple Pay"/>
  </r>
  <r>
    <n v="101136"/>
    <x v="194"/>
    <s v="AD-1766-C"/>
    <s v="Originals Backpack"/>
    <x v="2"/>
    <x v="1"/>
    <x v="0"/>
    <n v="2"/>
    <n v="109.2"/>
    <n v="54.6"/>
    <n v="5"/>
    <n v="103.74"/>
    <n v="26.29"/>
    <n v="27"/>
    <x v="0"/>
    <s v="Google Pay"/>
  </r>
  <r>
    <n v="100967"/>
    <x v="195"/>
    <s v="AD-2586-B"/>
    <s v="Stan Smith"/>
    <x v="1"/>
    <x v="4"/>
    <x v="3"/>
    <n v="3"/>
    <n v="241.23"/>
    <n v="80.41"/>
    <n v="10"/>
    <n v="217.11"/>
    <n v="73.760000000000005"/>
    <n v="37"/>
    <x v="0"/>
    <s v="Credit Card"/>
  </r>
  <r>
    <n v="101004"/>
    <x v="196"/>
    <s v="AD-3198-B"/>
    <s v="Stan Smith"/>
    <x v="1"/>
    <x v="4"/>
    <x v="0"/>
    <n v="4"/>
    <n v="334.84"/>
    <n v="83.71"/>
    <n v="0"/>
    <n v="334.84"/>
    <n v="75.38"/>
    <n v="20"/>
    <x v="1"/>
    <s v="UPI"/>
  </r>
  <r>
    <n v="100984"/>
    <x v="197"/>
    <s v="AD-9189-D"/>
    <s v="Sports Bottle"/>
    <x v="2"/>
    <x v="1"/>
    <x v="2"/>
    <n v="3"/>
    <n v="42.06"/>
    <n v="14.02"/>
    <n v="0"/>
    <n v="42.06"/>
    <n v="12.7"/>
    <n v="40"/>
    <x v="1"/>
    <s v="UPI"/>
  </r>
  <r>
    <n v="100294"/>
    <x v="198"/>
    <s v="AD-8272-D"/>
    <s v="Primegreen Jacket"/>
    <x v="0"/>
    <x v="1"/>
    <x v="1"/>
    <n v="3"/>
    <n v="390.51"/>
    <n v="130.16999999999999"/>
    <n v="0"/>
    <n v="390.51"/>
    <n v="89.97"/>
    <n v="27"/>
    <x v="0"/>
    <s v="Apple Pay"/>
  </r>
  <r>
    <n v="100519"/>
    <x v="199"/>
    <s v="AD-2702-C"/>
    <s v="Training Cap"/>
    <x v="2"/>
    <x v="4"/>
    <x v="0"/>
    <n v="2"/>
    <n v="41.52"/>
    <n v="20.76"/>
    <n v="0"/>
    <n v="41.52"/>
    <n v="8.75"/>
    <n v="26"/>
    <x v="0"/>
    <s v="Debit Card"/>
  </r>
  <r>
    <n v="100770"/>
    <x v="200"/>
    <s v="AD-4926-C"/>
    <s v="Training Shorts"/>
    <x v="0"/>
    <x v="4"/>
    <x v="3"/>
    <n v="2"/>
    <n v="59.3"/>
    <n v="29.65"/>
    <n v="0"/>
    <n v="59.3"/>
    <n v="15.46"/>
    <n v="20"/>
    <x v="0"/>
    <s v="Credit Card"/>
  </r>
  <r>
    <n v="100083"/>
    <x v="201"/>
    <s v="AD-1977-B"/>
    <s v="Stan Smith"/>
    <x v="1"/>
    <x v="0"/>
    <x v="2"/>
    <n v="3"/>
    <n v="261.75"/>
    <n v="87.25"/>
    <n v="0"/>
    <n v="261.75"/>
    <n v="56.23"/>
    <n v="29"/>
    <x v="0"/>
    <s v="Debit Card"/>
  </r>
  <r>
    <n v="100231"/>
    <x v="202"/>
    <s v="AD-2489-D"/>
    <s v="Z.N.E. Hoodie"/>
    <x v="0"/>
    <x v="1"/>
    <x v="1"/>
    <n v="2"/>
    <n v="281.18"/>
    <n v="140.59"/>
    <n v="0"/>
    <n v="281.18"/>
    <n v="89.42"/>
    <n v="33"/>
    <x v="0"/>
    <s v="Google Pay"/>
  </r>
  <r>
    <n v="100620"/>
    <x v="203"/>
    <s v="AD-3932-D"/>
    <s v="Training Cap"/>
    <x v="2"/>
    <x v="4"/>
    <x v="0"/>
    <n v="1"/>
    <n v="23.97"/>
    <n v="23.97"/>
    <n v="0"/>
    <n v="23.97"/>
    <n v="11.8"/>
    <n v="39"/>
    <x v="1"/>
    <s v="Apple Pay"/>
  </r>
  <r>
    <n v="100333"/>
    <x v="204"/>
    <s v="AD-7878-D"/>
    <s v="Primegreen Jacket"/>
    <x v="0"/>
    <x v="0"/>
    <x v="0"/>
    <n v="5"/>
    <n v="680.3"/>
    <n v="136.06"/>
    <n v="0"/>
    <n v="680.3"/>
    <n v="257.42"/>
    <n v="35"/>
    <x v="1"/>
    <s v="UPI"/>
  </r>
  <r>
    <n v="100129"/>
    <x v="205"/>
    <s v="AD-7992-C"/>
    <s v="Adicolor Hoodie"/>
    <x v="0"/>
    <x v="0"/>
    <x v="0"/>
    <n v="2"/>
    <n v="131.34"/>
    <n v="65.67"/>
    <n v="5"/>
    <n v="124.77"/>
    <n v="29.66"/>
    <n v="24"/>
    <x v="0"/>
    <s v="Cash"/>
  </r>
  <r>
    <n v="101011"/>
    <x v="77"/>
    <s v="AD-2623-A"/>
    <s v="Training Cap"/>
    <x v="2"/>
    <x v="1"/>
    <x v="1"/>
    <n v="2"/>
    <n v="41.14"/>
    <n v="20.57"/>
    <n v="10"/>
    <n v="37.03"/>
    <n v="13.01"/>
    <n v="19"/>
    <x v="1"/>
    <s v="NetBanking"/>
  </r>
  <r>
    <n v="100644"/>
    <x v="206"/>
    <s v="AD-5699-D"/>
    <s v="Copa Sense"/>
    <x v="1"/>
    <x v="0"/>
    <x v="0"/>
    <n v="3"/>
    <n v="485.40000000000003"/>
    <n v="161.80000000000001"/>
    <n v="0"/>
    <n v="485.4"/>
    <n v="184.18"/>
    <n v="20"/>
    <x v="0"/>
    <s v="Credit Card"/>
  </r>
  <r>
    <n v="100973"/>
    <x v="191"/>
    <s v="AD-7556-A"/>
    <s v="Ultraboost Light"/>
    <x v="1"/>
    <x v="0"/>
    <x v="1"/>
    <n v="3"/>
    <n v="428.70000000000005"/>
    <n v="142.9"/>
    <n v="0"/>
    <n v="428.7"/>
    <n v="137.94999999999999"/>
    <n v="34"/>
    <x v="1"/>
    <s v="Google Pay"/>
  </r>
  <r>
    <n v="100382"/>
    <x v="207"/>
    <s v="AD-9589-A"/>
    <s v="Ultraboost Light"/>
    <x v="1"/>
    <x v="4"/>
    <x v="0"/>
    <n v="4"/>
    <n v="640.48"/>
    <n v="160.12"/>
    <n v="0"/>
    <n v="640.48"/>
    <n v="210.06"/>
    <n v="24"/>
    <x v="1"/>
    <s v="PayPal"/>
  </r>
  <r>
    <n v="100867"/>
    <x v="208"/>
    <s v="AD-8417-C"/>
    <s v="NMD_R1"/>
    <x v="1"/>
    <x v="0"/>
    <x v="2"/>
    <n v="3"/>
    <n v="414.09000000000003"/>
    <n v="138.03"/>
    <n v="0"/>
    <n v="414.09"/>
    <n v="137.47999999999999"/>
    <n v="19"/>
    <x v="0"/>
    <s v="NetBanking"/>
  </r>
  <r>
    <n v="100542"/>
    <x v="160"/>
    <s v="AD-4039-A"/>
    <s v="Tiro 23 Track Pants"/>
    <x v="0"/>
    <x v="1"/>
    <x v="1"/>
    <n v="3"/>
    <n v="157.47"/>
    <n v="52.49"/>
    <n v="0"/>
    <n v="157.47"/>
    <n v="47.2"/>
    <n v="39"/>
    <x v="0"/>
    <s v="Apple Pay"/>
  </r>
  <r>
    <n v="101193"/>
    <x v="209"/>
    <s v="AD-4793-B"/>
    <s v="Copa Sense"/>
    <x v="1"/>
    <x v="0"/>
    <x v="1"/>
    <n v="3"/>
    <n v="470.97"/>
    <n v="156.99"/>
    <n v="20"/>
    <n v="376.78"/>
    <n v="142.68"/>
    <n v="25"/>
    <x v="0"/>
    <s v="Cash"/>
  </r>
  <r>
    <n v="100874"/>
    <x v="210"/>
    <s v="AD-9197-D"/>
    <s v="NMD_R1"/>
    <x v="1"/>
    <x v="4"/>
    <x v="2"/>
    <n v="4"/>
    <n v="539.96"/>
    <n v="134.99"/>
    <n v="20"/>
    <n v="431.97"/>
    <n v="106.8"/>
    <n v="36"/>
    <x v="1"/>
    <s v="NetBanking"/>
  </r>
  <r>
    <n v="100331"/>
    <x v="211"/>
    <s v="AD-3466-A"/>
    <s v="Running Watch Strap"/>
    <x v="2"/>
    <x v="3"/>
    <x v="1"/>
    <n v="1"/>
    <n v="43.72"/>
    <n v="43.72"/>
    <n v="0"/>
    <n v="43.72"/>
    <n v="17.41"/>
    <n v="34"/>
    <x v="0"/>
    <s v="UPI"/>
  </r>
  <r>
    <n v="100409"/>
    <x v="212"/>
    <s v="AD-9381-A"/>
    <s v="Stan Smith"/>
    <x v="1"/>
    <x v="4"/>
    <x v="1"/>
    <n v="4"/>
    <n v="352.68"/>
    <n v="88.17"/>
    <n v="0"/>
    <n v="352.68"/>
    <n v="91.08"/>
    <n v="46"/>
    <x v="1"/>
    <s v="Debit Card"/>
  </r>
  <r>
    <n v="100076"/>
    <x v="37"/>
    <s v="AD-2680-A"/>
    <s v="Ultraboost Light"/>
    <x v="1"/>
    <x v="0"/>
    <x v="0"/>
    <n v="5"/>
    <n v="767.75"/>
    <n v="153.55000000000001"/>
    <n v="0"/>
    <n v="767.75"/>
    <n v="188.2"/>
    <n v="17"/>
    <x v="0"/>
    <s v="Google Pay"/>
  </r>
  <r>
    <n v="100868"/>
    <x v="213"/>
    <s v="AD-1033-D"/>
    <s v="Z.N.E. Hoodie"/>
    <x v="0"/>
    <x v="1"/>
    <x v="1"/>
    <n v="4"/>
    <n v="468.2"/>
    <n v="117.05"/>
    <n v="5"/>
    <n v="444.79"/>
    <n v="156.59"/>
    <n v="18"/>
    <x v="1"/>
    <s v="PayPal"/>
  </r>
  <r>
    <n v="100138"/>
    <x v="214"/>
    <s v="AD-6655-D"/>
    <s v="Performance Socks (3-pack)"/>
    <x v="2"/>
    <x v="1"/>
    <x v="0"/>
    <n v="4"/>
    <n v="62.6"/>
    <n v="15.65"/>
    <n v="0"/>
    <n v="62.6"/>
    <n v="23.08"/>
    <n v="42"/>
    <x v="1"/>
    <s v="Debit Card"/>
  </r>
  <r>
    <n v="100543"/>
    <x v="34"/>
    <s v="AD-4110-D"/>
    <s v="Training Shorts"/>
    <x v="0"/>
    <x v="4"/>
    <x v="1"/>
    <n v="3"/>
    <n v="86.49"/>
    <n v="28.83"/>
    <n v="0"/>
    <n v="86.49"/>
    <n v="20.420000000000002"/>
    <n v="36"/>
    <x v="0"/>
    <s v="Apple Pay"/>
  </r>
  <r>
    <n v="100673"/>
    <x v="215"/>
    <s v="AD-3753-C"/>
    <s v="Ultraboost Light"/>
    <x v="1"/>
    <x v="1"/>
    <x v="0"/>
    <n v="2"/>
    <n v="294.54000000000002"/>
    <n v="147.27000000000001"/>
    <n v="0"/>
    <n v="294.54000000000002"/>
    <n v="118.55"/>
    <n v="30"/>
    <x v="1"/>
    <s v="Apple Pay"/>
  </r>
  <r>
    <n v="100920"/>
    <x v="216"/>
    <s v="AD-8835-A"/>
    <s v="Z.N.E. Hoodie"/>
    <x v="0"/>
    <x v="1"/>
    <x v="0"/>
    <n v="2"/>
    <n v="224.42"/>
    <n v="112.21"/>
    <n v="0"/>
    <n v="224.42"/>
    <n v="59.14"/>
    <n v="40"/>
    <x v="1"/>
    <s v="Apple Pay"/>
  </r>
  <r>
    <n v="100063"/>
    <x v="217"/>
    <s v="AD-3683-C"/>
    <s v="Adilette Slides"/>
    <x v="1"/>
    <x v="4"/>
    <x v="0"/>
    <n v="2"/>
    <n v="66.84"/>
    <n v="33.42"/>
    <n v="5"/>
    <n v="63.5"/>
    <n v="19.829999999999998"/>
    <n v="25"/>
    <x v="0"/>
    <s v="Debit Card"/>
  </r>
  <r>
    <n v="100141"/>
    <x v="218"/>
    <s v="AD-2180-D"/>
    <s v="Originals Backpack"/>
    <x v="2"/>
    <x v="1"/>
    <x v="1"/>
    <n v="1"/>
    <n v="56.52"/>
    <n v="56.52"/>
    <n v="20"/>
    <n v="45.22"/>
    <n v="10.38"/>
    <n v="34"/>
    <x v="1"/>
    <s v="Cash"/>
  </r>
  <r>
    <n v="100716"/>
    <x v="219"/>
    <s v="AD-2083-D"/>
    <s v="Running Watch Strap"/>
    <x v="2"/>
    <x v="4"/>
    <x v="0"/>
    <n v="3"/>
    <n v="118.05000000000001"/>
    <n v="39.35"/>
    <n v="0"/>
    <n v="118.05"/>
    <n v="34.590000000000003"/>
    <n v="32"/>
    <x v="2"/>
    <s v="Cash"/>
  </r>
  <r>
    <n v="100376"/>
    <x v="220"/>
    <s v="AD-2654-C"/>
    <s v="Predator Freak"/>
    <x v="1"/>
    <x v="0"/>
    <x v="3"/>
    <n v="1"/>
    <n v="186.67"/>
    <n v="186.67"/>
    <n v="0"/>
    <n v="186.67"/>
    <n v="57.99"/>
    <n v="41"/>
    <x v="1"/>
    <s v="Debit Card"/>
  </r>
  <r>
    <n v="100363"/>
    <x v="221"/>
    <s v="AD-9962-A"/>
    <s v="Essentials Tee"/>
    <x v="0"/>
    <x v="4"/>
    <x v="0"/>
    <n v="4"/>
    <n v="101.92"/>
    <n v="25.48"/>
    <n v="0"/>
    <n v="101.92"/>
    <n v="35.270000000000003"/>
    <n v="45"/>
    <x v="1"/>
    <s v="Debit Card"/>
  </r>
  <r>
    <n v="100139"/>
    <x v="222"/>
    <s v="AD-7475-A"/>
    <s v="Tiro 23 Track Pants"/>
    <x v="0"/>
    <x v="0"/>
    <x v="1"/>
    <n v="2"/>
    <n v="123.82"/>
    <n v="61.91"/>
    <n v="0"/>
    <n v="123.82"/>
    <n v="33.5"/>
    <n v="36"/>
    <x v="1"/>
    <s v="UPI"/>
  </r>
  <r>
    <n v="100884"/>
    <x v="223"/>
    <s v="AD-1855-C"/>
    <s v="Performance Socks (3-pack)"/>
    <x v="2"/>
    <x v="0"/>
    <x v="0"/>
    <n v="4"/>
    <n v="67.44"/>
    <n v="16.86"/>
    <n v="10"/>
    <n v="60.7"/>
    <n v="20.02"/>
    <n v="33"/>
    <x v="1"/>
    <s v="Credit Card"/>
  </r>
  <r>
    <n v="101041"/>
    <x v="224"/>
    <s v="AD-4309-B"/>
    <s v="Performance Socks (3-pack)"/>
    <x v="2"/>
    <x v="4"/>
    <x v="1"/>
    <n v="5"/>
    <n v="88.100000000000009"/>
    <n v="17.62"/>
    <n v="0"/>
    <n v="88.1"/>
    <n v="35.78"/>
    <n v="35"/>
    <x v="1"/>
    <s v="Google Pay"/>
  </r>
  <r>
    <n v="100224"/>
    <x v="225"/>
    <s v="AD-7567-A"/>
    <s v="NMD_R1"/>
    <x v="1"/>
    <x v="2"/>
    <x v="2"/>
    <n v="3"/>
    <n v="359.15999999999997"/>
    <n v="119.72"/>
    <n v="0"/>
    <n v="359.16"/>
    <n v="87.93"/>
    <n v="42"/>
    <x v="1"/>
    <s v="Debit Card"/>
  </r>
  <r>
    <n v="100514"/>
    <x v="226"/>
    <s v="AD-8598-B"/>
    <s v="Gym Bag"/>
    <x v="2"/>
    <x v="0"/>
    <x v="2"/>
    <n v="4"/>
    <n v="156.16"/>
    <n v="39.04"/>
    <n v="5"/>
    <n v="148.35"/>
    <n v="54.55"/>
    <n v="23"/>
    <x v="1"/>
    <s v="NetBanking"/>
  </r>
  <r>
    <n v="100266"/>
    <x v="227"/>
    <s v="AD-2344-C"/>
    <s v="Running Watch Strap"/>
    <x v="2"/>
    <x v="4"/>
    <x v="1"/>
    <n v="1"/>
    <n v="37.5"/>
    <n v="37.5"/>
    <n v="0"/>
    <n v="37.5"/>
    <n v="14.68"/>
    <n v="37"/>
    <x v="0"/>
    <s v="Debit Card"/>
  </r>
  <r>
    <n v="101169"/>
    <x v="228"/>
    <s v="AD-3664-C"/>
    <s v="Ultraboost 22"/>
    <x v="1"/>
    <x v="0"/>
    <x v="1"/>
    <n v="4"/>
    <n v="794"/>
    <n v="198.5"/>
    <n v="5"/>
    <n v="754.3"/>
    <n v="256.14999999999998"/>
    <n v="21"/>
    <x v="1"/>
    <s v="NetBanking"/>
  </r>
  <r>
    <n v="100486"/>
    <x v="229"/>
    <s v="AD-5157-C"/>
    <s v="Adilette Slides"/>
    <x v="1"/>
    <x v="0"/>
    <x v="1"/>
    <n v="1"/>
    <n v="36.39"/>
    <n v="36.39"/>
    <n v="5"/>
    <n v="34.57"/>
    <n v="10.45"/>
    <n v="25"/>
    <x v="1"/>
    <s v="Google Pay"/>
  </r>
  <r>
    <n v="100352"/>
    <x v="230"/>
    <s v="AD-9035-A"/>
    <s v="Adilette Slides"/>
    <x v="1"/>
    <x v="0"/>
    <x v="3"/>
    <n v="3"/>
    <n v="95.699999999999989"/>
    <n v="31.9"/>
    <n v="0"/>
    <n v="95.7"/>
    <n v="27.68"/>
    <n v="30"/>
    <x v="1"/>
    <s v="PayPal"/>
  </r>
  <r>
    <n v="101005"/>
    <x v="231"/>
    <s v="AD-7255-B"/>
    <s v="Training Shorts"/>
    <x v="0"/>
    <x v="0"/>
    <x v="0"/>
    <n v="2"/>
    <n v="54.6"/>
    <n v="27.3"/>
    <n v="40"/>
    <n v="32.76"/>
    <n v="7.02"/>
    <n v="29"/>
    <x v="1"/>
    <s v="NetBanking"/>
  </r>
  <r>
    <n v="100617"/>
    <x v="232"/>
    <s v="AD-3446-B"/>
    <s v="Adilette Slides"/>
    <x v="1"/>
    <x v="1"/>
    <x v="1"/>
    <n v="4"/>
    <n v="121.72"/>
    <n v="30.43"/>
    <n v="5"/>
    <n v="115.63"/>
    <n v="29.39"/>
    <n v="32"/>
    <x v="0"/>
    <s v="NetBanking"/>
  </r>
  <r>
    <n v="100667"/>
    <x v="233"/>
    <s v="AD-1606-C"/>
    <s v="Sports Bottle"/>
    <x v="2"/>
    <x v="1"/>
    <x v="3"/>
    <n v="6"/>
    <n v="91.320000000000007"/>
    <n v="15.22"/>
    <n v="0"/>
    <n v="91.32"/>
    <n v="26.48"/>
    <n v="23"/>
    <x v="0"/>
    <s v="Credit Card"/>
  </r>
  <r>
    <n v="100774"/>
    <x v="169"/>
    <s v="AD-7920-A"/>
    <s v="Superstar"/>
    <x v="1"/>
    <x v="3"/>
    <x v="1"/>
    <n v="6"/>
    <n v="573.06000000000006"/>
    <n v="95.51"/>
    <n v="0"/>
    <n v="573.05999999999995"/>
    <n v="94.18"/>
    <n v="16"/>
    <x v="1"/>
    <s v="Cash"/>
  </r>
  <r>
    <n v="100553"/>
    <x v="234"/>
    <s v="AD-1003-A"/>
    <s v="Sports Bottle"/>
    <x v="2"/>
    <x v="4"/>
    <x v="3"/>
    <n v="3"/>
    <n v="43.230000000000004"/>
    <n v="14.41"/>
    <n v="0"/>
    <n v="43.23"/>
    <n v="15.33"/>
    <n v="25"/>
    <x v="1"/>
    <s v="Apple Pay"/>
  </r>
  <r>
    <n v="100575"/>
    <x v="235"/>
    <s v="AD-4695-B"/>
    <s v="Primegreen Jacket"/>
    <x v="0"/>
    <x v="0"/>
    <x v="0"/>
    <n v="4"/>
    <n v="566.28"/>
    <n v="141.57"/>
    <n v="0"/>
    <n v="566.28"/>
    <n v="156.63999999999999"/>
    <n v="39"/>
    <x v="0"/>
    <s v="NetBanking"/>
  </r>
  <r>
    <n v="100914"/>
    <x v="236"/>
    <s v="AD-9188-C"/>
    <s v="Sports Bottle"/>
    <x v="2"/>
    <x v="4"/>
    <x v="2"/>
    <n v="3"/>
    <n v="49.349999999999994"/>
    <n v="16.45"/>
    <n v="10"/>
    <n v="44.41"/>
    <n v="16.55"/>
    <n v="35"/>
    <x v="1"/>
    <s v="Credit Card"/>
  </r>
  <r>
    <n v="100465"/>
    <x v="237"/>
    <s v="AD-1600-C"/>
    <s v="Gym Bag"/>
    <x v="2"/>
    <x v="0"/>
    <x v="1"/>
    <n v="4"/>
    <n v="204.76"/>
    <n v="51.19"/>
    <n v="0"/>
    <n v="204.76"/>
    <n v="59.69"/>
    <n v="36"/>
    <x v="0"/>
    <s v="UPI"/>
  </r>
  <r>
    <n v="100590"/>
    <x v="120"/>
    <s v="AD-3686-A"/>
    <s v="Running Watch Strap"/>
    <x v="2"/>
    <x v="2"/>
    <x v="2"/>
    <n v="3"/>
    <n v="119.88"/>
    <n v="39.96"/>
    <n v="0"/>
    <n v="119.88"/>
    <n v="34.04"/>
    <n v="20"/>
    <x v="1"/>
    <s v="Cash"/>
  </r>
  <r>
    <n v="100764"/>
    <x v="238"/>
    <s v="AD-2041-D"/>
    <s v="Training Cap"/>
    <x v="2"/>
    <x v="4"/>
    <x v="2"/>
    <n v="3"/>
    <n v="70.53"/>
    <n v="23.51"/>
    <n v="0"/>
    <n v="70.53"/>
    <n v="23.67"/>
    <n v="31"/>
    <x v="1"/>
    <s v="NetBanking"/>
  </r>
  <r>
    <n v="100634"/>
    <x v="239"/>
    <s v="AD-7652-D"/>
    <s v="Ultraboost 22"/>
    <x v="1"/>
    <x v="0"/>
    <x v="0"/>
    <n v="1"/>
    <n v="208.4"/>
    <n v="208.4"/>
    <n v="20"/>
    <n v="166.72"/>
    <n v="38.46"/>
    <n v="39"/>
    <x v="1"/>
    <s v="Apple Pay"/>
  </r>
  <r>
    <n v="100837"/>
    <x v="240"/>
    <s v="AD-4501-A"/>
    <s v="Z.N.E. Hoodie"/>
    <x v="0"/>
    <x v="0"/>
    <x v="2"/>
    <n v="3"/>
    <n v="372.03000000000003"/>
    <n v="124.01"/>
    <n v="5"/>
    <n v="353.43"/>
    <n v="138.56"/>
    <n v="39"/>
    <x v="1"/>
    <s v="NetBanking"/>
  </r>
  <r>
    <n v="100289"/>
    <x v="241"/>
    <s v="AD-6700-C"/>
    <s v="Training Cap"/>
    <x v="2"/>
    <x v="0"/>
    <x v="1"/>
    <n v="3"/>
    <n v="64.38"/>
    <n v="21.46"/>
    <n v="0"/>
    <n v="64.38"/>
    <n v="19.04"/>
    <n v="21"/>
    <x v="0"/>
    <s v="Debit Card"/>
  </r>
  <r>
    <n v="100039"/>
    <x v="242"/>
    <s v="AD-4269-D"/>
    <s v="Copa Sense"/>
    <x v="1"/>
    <x v="4"/>
    <x v="2"/>
    <n v="3"/>
    <n v="505.02"/>
    <n v="168.34"/>
    <n v="0"/>
    <n v="505.02"/>
    <n v="155.66999999999999"/>
    <n v="23"/>
    <x v="0"/>
    <s v="UPI"/>
  </r>
  <r>
    <n v="100030"/>
    <x v="125"/>
    <s v="AD-1152-D"/>
    <s v="Predator Freak"/>
    <x v="1"/>
    <x v="4"/>
    <x v="0"/>
    <n v="3"/>
    <n v="758.52"/>
    <n v="252.84"/>
    <n v="0"/>
    <n v="758.52"/>
    <n v="245.53"/>
    <n v="23"/>
    <x v="0"/>
    <s v="Debit Card"/>
  </r>
  <r>
    <n v="100242"/>
    <x v="178"/>
    <s v="AD-9120-A"/>
    <s v="Ultraboost Light"/>
    <x v="1"/>
    <x v="0"/>
    <x v="1"/>
    <n v="3"/>
    <n v="493.68"/>
    <n v="164.56"/>
    <n v="0"/>
    <n v="493.68"/>
    <n v="151.6"/>
    <n v="25"/>
    <x v="1"/>
    <s v="Apple Pay"/>
  </r>
  <r>
    <n v="100428"/>
    <x v="243"/>
    <s v="AD-2752-C"/>
    <s v="Stan Smith"/>
    <x v="1"/>
    <x v="4"/>
    <x v="0"/>
    <n v="3"/>
    <n v="241.23"/>
    <n v="80.41"/>
    <n v="10"/>
    <n v="217.11"/>
    <n v="65.5"/>
    <n v="21"/>
    <x v="0"/>
    <s v="Apple Pay"/>
  </r>
  <r>
    <n v="100136"/>
    <x v="244"/>
    <s v="AD-7062-C"/>
    <s v="Ultraboost 22"/>
    <x v="1"/>
    <x v="1"/>
    <x v="0"/>
    <n v="2"/>
    <n v="363.28"/>
    <n v="181.64"/>
    <n v="10"/>
    <n v="326.95"/>
    <n v="100.54"/>
    <n v="32"/>
    <x v="1"/>
    <s v="PayPal"/>
  </r>
  <r>
    <n v="101100"/>
    <x v="245"/>
    <s v="AD-7876-B"/>
    <s v="Copa Sense"/>
    <x v="1"/>
    <x v="4"/>
    <x v="0"/>
    <n v="1"/>
    <n v="150.4"/>
    <n v="150.4"/>
    <n v="10"/>
    <n v="135.36000000000001"/>
    <n v="34.33"/>
    <n v="24"/>
    <x v="1"/>
    <s v="Google Pay"/>
  </r>
  <r>
    <n v="100864"/>
    <x v="246"/>
    <s v="AD-8900-C"/>
    <s v="Performance Socks (3-pack)"/>
    <x v="2"/>
    <x v="0"/>
    <x v="1"/>
    <n v="3"/>
    <n v="56.97"/>
    <n v="18.989999999999998"/>
    <n v="0"/>
    <n v="56.97"/>
    <n v="15.45"/>
    <n v="27"/>
    <x v="1"/>
    <s v="Credit Card"/>
  </r>
  <r>
    <n v="100003"/>
    <x v="247"/>
    <s v="AD-1711-D"/>
    <s v="Z.N.E. Hoodie"/>
    <x v="0"/>
    <x v="1"/>
    <x v="0"/>
    <n v="2"/>
    <n v="246.04"/>
    <n v="123.02"/>
    <n v="10"/>
    <n v="221.44"/>
    <n v="81.48"/>
    <n v="28"/>
    <x v="1"/>
    <s v="NetBanking"/>
  </r>
  <r>
    <n v="100832"/>
    <x v="248"/>
    <s v="AD-3692-D"/>
    <s v="Ultraboost 22"/>
    <x v="1"/>
    <x v="1"/>
    <x v="0"/>
    <n v="3"/>
    <n v="530.81999999999994"/>
    <n v="176.94"/>
    <n v="0"/>
    <n v="530.82000000000005"/>
    <n v="190.54"/>
    <n v="33"/>
    <x v="1"/>
    <s v="Apple Pay"/>
  </r>
  <r>
    <n v="100602"/>
    <x v="249"/>
    <s v="AD-9514-D"/>
    <s v="Gym Bag"/>
    <x v="2"/>
    <x v="0"/>
    <x v="3"/>
    <n v="3"/>
    <n v="116.43"/>
    <n v="38.81"/>
    <n v="0"/>
    <n v="116.43"/>
    <n v="53.32"/>
    <n v="21"/>
    <x v="0"/>
    <s v="Google Pay"/>
  </r>
  <r>
    <n v="101033"/>
    <x v="250"/>
    <s v="AD-4091-B"/>
    <s v="Originals Backpack"/>
    <x v="2"/>
    <x v="0"/>
    <x v="2"/>
    <n v="2"/>
    <n v="126.02"/>
    <n v="63.01"/>
    <n v="20"/>
    <n v="100.82"/>
    <n v="28.01"/>
    <n v="24"/>
    <x v="0"/>
    <s v="PayPal"/>
  </r>
  <r>
    <n v="100654"/>
    <x v="251"/>
    <s v="AD-1931-B"/>
    <s v="Performance Socks (3-pack)"/>
    <x v="2"/>
    <x v="0"/>
    <x v="0"/>
    <n v="5"/>
    <n v="93.550000000000011"/>
    <n v="18.71"/>
    <n v="5"/>
    <n v="88.87"/>
    <n v="26"/>
    <n v="22"/>
    <x v="1"/>
    <s v="Debit Card"/>
  </r>
  <r>
    <n v="100843"/>
    <x v="252"/>
    <s v="AD-9622-D"/>
    <s v="Superstar"/>
    <x v="1"/>
    <x v="2"/>
    <x v="1"/>
    <n v="2"/>
    <n v="189.32"/>
    <n v="94.66"/>
    <n v="10"/>
    <n v="170.39"/>
    <n v="58.52"/>
    <n v="16"/>
    <x v="1"/>
    <s v="Cash"/>
  </r>
  <r>
    <n v="100783"/>
    <x v="59"/>
    <s v="AD-5636-B"/>
    <s v="Essentials Tee"/>
    <x v="0"/>
    <x v="1"/>
    <x v="0"/>
    <n v="3"/>
    <n v="68.34"/>
    <n v="22.78"/>
    <n v="5"/>
    <n v="64.92"/>
    <n v="19.72"/>
    <n v="32"/>
    <x v="0"/>
    <s v="UPI"/>
  </r>
  <r>
    <n v="101073"/>
    <x v="253"/>
    <s v="AD-1494-B"/>
    <s v="Originals Backpack"/>
    <x v="2"/>
    <x v="0"/>
    <x v="1"/>
    <n v="3"/>
    <n v="162.51"/>
    <n v="54.17"/>
    <n v="5"/>
    <n v="154.38"/>
    <n v="52.04"/>
    <n v="32"/>
    <x v="1"/>
    <s v="PayPal"/>
  </r>
  <r>
    <n v="100442"/>
    <x v="132"/>
    <s v="AD-9418-A"/>
    <s v="Adilette Slides"/>
    <x v="1"/>
    <x v="4"/>
    <x v="1"/>
    <n v="2"/>
    <n v="70.400000000000006"/>
    <n v="35.200000000000003"/>
    <n v="5"/>
    <n v="66.88"/>
    <n v="17.920000000000002"/>
    <n v="39"/>
    <x v="1"/>
    <s v="PayPal"/>
  </r>
  <r>
    <n v="101177"/>
    <x v="254"/>
    <s v="AD-2448-B"/>
    <s v="Performance Socks (3-pack)"/>
    <x v="2"/>
    <x v="1"/>
    <x v="0"/>
    <n v="3"/>
    <n v="52.320000000000007"/>
    <n v="17.440000000000001"/>
    <n v="5"/>
    <n v="49.7"/>
    <n v="19.57"/>
    <n v="28"/>
    <x v="0"/>
    <s v="Apple Pay"/>
  </r>
  <r>
    <n v="100435"/>
    <x v="255"/>
    <s v="AD-9255-C"/>
    <s v="NMD_R1"/>
    <x v="1"/>
    <x v="0"/>
    <x v="3"/>
    <n v="6"/>
    <n v="974.04"/>
    <n v="162.34"/>
    <n v="0"/>
    <n v="974.04"/>
    <n v="303.42"/>
    <n v="33"/>
    <x v="1"/>
    <s v="PayPal"/>
  </r>
  <r>
    <n v="101168"/>
    <x v="256"/>
    <s v="AD-5725-A"/>
    <s v="Gym Bag"/>
    <x v="2"/>
    <x v="2"/>
    <x v="0"/>
    <n v="2"/>
    <n v="91.38"/>
    <n v="45.69"/>
    <n v="0"/>
    <n v="91.38"/>
    <n v="36.33"/>
    <n v="26"/>
    <x v="0"/>
    <s v="Cash"/>
  </r>
  <r>
    <n v="100100"/>
    <x v="257"/>
    <s v="AD-8994-A"/>
    <s v="Superstar"/>
    <x v="1"/>
    <x v="2"/>
    <x v="2"/>
    <n v="4"/>
    <n v="391.88"/>
    <n v="97.97"/>
    <n v="0"/>
    <n v="391.88"/>
    <n v="115.9"/>
    <n v="34"/>
    <x v="1"/>
    <s v="Cash"/>
  </r>
  <r>
    <n v="100772"/>
    <x v="258"/>
    <s v="AD-5929-A"/>
    <s v="Performance Socks (3-pack)"/>
    <x v="2"/>
    <x v="2"/>
    <x v="0"/>
    <n v="4"/>
    <n v="73.760000000000005"/>
    <n v="18.440000000000001"/>
    <n v="5"/>
    <n v="70.069999999999993"/>
    <n v="17.75"/>
    <n v="28"/>
    <x v="0"/>
    <s v="NetBanking"/>
  </r>
  <r>
    <n v="100494"/>
    <x v="259"/>
    <s v="AD-6693-C"/>
    <s v="Superstar"/>
    <x v="1"/>
    <x v="1"/>
    <x v="1"/>
    <n v="2"/>
    <n v="174.98"/>
    <n v="87.49"/>
    <n v="0"/>
    <n v="174.98"/>
    <n v="60.66"/>
    <n v="23"/>
    <x v="0"/>
    <s v="Cash"/>
  </r>
  <r>
    <n v="101027"/>
    <x v="260"/>
    <s v="AD-2813-B"/>
    <s v="Performance Socks (3-pack)"/>
    <x v="2"/>
    <x v="1"/>
    <x v="0"/>
    <n v="4"/>
    <n v="72.2"/>
    <n v="18.05"/>
    <n v="20"/>
    <n v="57.76"/>
    <n v="16.18"/>
    <n v="26"/>
    <x v="1"/>
    <s v="UPI"/>
  </r>
  <r>
    <n v="100806"/>
    <x v="261"/>
    <s v="AD-9366-D"/>
    <s v="Originals Backpack"/>
    <x v="2"/>
    <x v="4"/>
    <x v="0"/>
    <n v="3"/>
    <n v="173.91"/>
    <n v="57.97"/>
    <n v="5"/>
    <n v="165.21"/>
    <n v="38.729999999999997"/>
    <n v="32"/>
    <x v="1"/>
    <s v="Debit Card"/>
  </r>
  <r>
    <n v="101141"/>
    <x v="20"/>
    <s v="AD-2722-C"/>
    <s v="Training Shorts"/>
    <x v="0"/>
    <x v="4"/>
    <x v="0"/>
    <n v="2"/>
    <n v="61.46"/>
    <n v="30.73"/>
    <n v="0"/>
    <n v="61.46"/>
    <n v="18.68"/>
    <n v="31"/>
    <x v="0"/>
    <s v="PayPal"/>
  </r>
  <r>
    <n v="100845"/>
    <x v="262"/>
    <s v="AD-9408-A"/>
    <s v="Originals Backpack"/>
    <x v="2"/>
    <x v="4"/>
    <x v="0"/>
    <n v="3"/>
    <n v="183.81"/>
    <n v="61.27"/>
    <n v="0"/>
    <n v="183.81"/>
    <n v="62.6"/>
    <n v="33"/>
    <x v="0"/>
    <s v="PayPal"/>
  </r>
  <r>
    <n v="100986"/>
    <x v="263"/>
    <s v="AD-9110-C"/>
    <s v="Stan Smith"/>
    <x v="1"/>
    <x v="2"/>
    <x v="1"/>
    <n v="1"/>
    <n v="80.89"/>
    <n v="80.89"/>
    <n v="40"/>
    <n v="48.53"/>
    <n v="16.34"/>
    <n v="19"/>
    <x v="0"/>
    <s v="UPI"/>
  </r>
  <r>
    <n v="100227"/>
    <x v="264"/>
    <s v="AD-2923-C"/>
    <s v="Copa Sense"/>
    <x v="1"/>
    <x v="1"/>
    <x v="2"/>
    <n v="5"/>
    <n v="828.19999999999993"/>
    <n v="165.64"/>
    <n v="5"/>
    <n v="786.79"/>
    <n v="254.6"/>
    <n v="31"/>
    <x v="0"/>
    <s v="NetBanking"/>
  </r>
  <r>
    <n v="101192"/>
    <x v="265"/>
    <s v="AD-1736-A"/>
    <s v="Z.N.E. Hoodie"/>
    <x v="0"/>
    <x v="0"/>
    <x v="1"/>
    <n v="3"/>
    <n v="420.21"/>
    <n v="140.07"/>
    <n v="0"/>
    <n v="420.21"/>
    <n v="138.38999999999999"/>
    <n v="16"/>
    <x v="0"/>
    <s v="Debit Card"/>
  </r>
  <r>
    <n v="100671"/>
    <x v="219"/>
    <s v="AD-2033-B"/>
    <s v="Running Watch Strap"/>
    <x v="2"/>
    <x v="0"/>
    <x v="0"/>
    <n v="3"/>
    <n v="131.34"/>
    <n v="43.78"/>
    <n v="10"/>
    <n v="118.21"/>
    <n v="58.07"/>
    <n v="18"/>
    <x v="0"/>
    <s v="UPI"/>
  </r>
  <r>
    <n v="100858"/>
    <x v="266"/>
    <s v="AD-1445-A"/>
    <s v="Tiro 23 Track Pants"/>
    <x v="0"/>
    <x v="0"/>
    <x v="0"/>
    <n v="4"/>
    <n v="206.8"/>
    <n v="51.7"/>
    <n v="0"/>
    <n v="206.8"/>
    <n v="55.16"/>
    <n v="25"/>
    <x v="0"/>
    <s v="PayPal"/>
  </r>
  <r>
    <n v="100924"/>
    <x v="267"/>
    <s v="AD-7407-B"/>
    <s v="Ultraboost Light"/>
    <x v="1"/>
    <x v="4"/>
    <x v="2"/>
    <n v="2"/>
    <n v="298.2"/>
    <n v="149.1"/>
    <n v="0"/>
    <n v="298.2"/>
    <n v="76.67"/>
    <n v="29"/>
    <x v="1"/>
    <s v="NetBanking"/>
  </r>
  <r>
    <n v="100066"/>
    <x v="116"/>
    <s v="AD-9031-A"/>
    <s v="Originals Backpack"/>
    <x v="2"/>
    <x v="4"/>
    <x v="1"/>
    <n v="1"/>
    <n v="64.12"/>
    <n v="64.12"/>
    <n v="0"/>
    <n v="64.12"/>
    <n v="20.440000000000001"/>
    <n v="27"/>
    <x v="1"/>
    <s v="Apple Pay"/>
  </r>
  <r>
    <n v="100067"/>
    <x v="268"/>
    <s v="AD-9817-D"/>
    <s v="Training Shorts"/>
    <x v="0"/>
    <x v="0"/>
    <x v="1"/>
    <n v="2"/>
    <n v="59.98"/>
    <n v="29.99"/>
    <n v="0"/>
    <n v="59.98"/>
    <n v="21.37"/>
    <n v="36"/>
    <x v="1"/>
    <s v="NetBanking"/>
  </r>
  <r>
    <n v="100816"/>
    <x v="269"/>
    <s v="AD-1606-D"/>
    <s v="Originals Backpack"/>
    <x v="2"/>
    <x v="2"/>
    <x v="1"/>
    <n v="5"/>
    <n v="290.14999999999998"/>
    <n v="58.03"/>
    <n v="0"/>
    <n v="290.14999999999998"/>
    <n v="101.53"/>
    <n v="25"/>
    <x v="0"/>
    <s v="NetBanking"/>
  </r>
  <r>
    <n v="100211"/>
    <x v="270"/>
    <s v="AD-8531-C"/>
    <s v="Adilette Slides"/>
    <x v="1"/>
    <x v="3"/>
    <x v="1"/>
    <n v="3"/>
    <n v="121.08"/>
    <n v="40.36"/>
    <n v="0"/>
    <n v="121.08"/>
    <n v="36.14"/>
    <n v="46"/>
    <x v="1"/>
    <s v="PayPal"/>
  </r>
  <r>
    <n v="100012"/>
    <x v="271"/>
    <s v="AD-9201-B"/>
    <s v="Z.N.E. Hoodie"/>
    <x v="0"/>
    <x v="1"/>
    <x v="1"/>
    <n v="2"/>
    <n v="246.36"/>
    <n v="123.18"/>
    <n v="10"/>
    <n v="221.72"/>
    <n v="75.06"/>
    <n v="21"/>
    <x v="0"/>
    <s v="NetBanking"/>
  </r>
  <r>
    <n v="100493"/>
    <x v="272"/>
    <s v="AD-4281-A"/>
    <s v="Copa Sense"/>
    <x v="1"/>
    <x v="4"/>
    <x v="0"/>
    <n v="5"/>
    <n v="819.9"/>
    <n v="163.98"/>
    <n v="10"/>
    <n v="737.91"/>
    <n v="217.96"/>
    <n v="20"/>
    <x v="0"/>
    <s v="Apple Pay"/>
  </r>
  <r>
    <n v="101164"/>
    <x v="273"/>
    <s v="AD-3320-C"/>
    <s v="Essentials Tee"/>
    <x v="0"/>
    <x v="0"/>
    <x v="0"/>
    <n v="2"/>
    <n v="45.36"/>
    <n v="22.68"/>
    <n v="0"/>
    <n v="45.36"/>
    <n v="17.010000000000002"/>
    <n v="29"/>
    <x v="0"/>
    <s v="UPI"/>
  </r>
  <r>
    <n v="100299"/>
    <x v="274"/>
    <s v="AD-1972-C"/>
    <s v="NMD_R1"/>
    <x v="1"/>
    <x v="4"/>
    <x v="0"/>
    <n v="3"/>
    <n v="388.89"/>
    <n v="129.63"/>
    <n v="0"/>
    <n v="388.89"/>
    <n v="108.37"/>
    <n v="25"/>
    <x v="1"/>
    <s v="UPI"/>
  </r>
  <r>
    <n v="100410"/>
    <x v="275"/>
    <s v="AD-6864-D"/>
    <s v="Stan Smith"/>
    <x v="1"/>
    <x v="1"/>
    <x v="1"/>
    <n v="3"/>
    <n v="222.20999999999998"/>
    <n v="74.069999999999993"/>
    <n v="0"/>
    <n v="222.21"/>
    <n v="68.72"/>
    <n v="36"/>
    <x v="0"/>
    <s v="UPI"/>
  </r>
  <r>
    <n v="100756"/>
    <x v="276"/>
    <s v="AD-2552-C"/>
    <s v="Essentials Tee"/>
    <x v="0"/>
    <x v="3"/>
    <x v="0"/>
    <n v="4"/>
    <n v="99.84"/>
    <n v="24.96"/>
    <n v="10"/>
    <n v="89.86"/>
    <n v="21.45"/>
    <n v="37"/>
    <x v="1"/>
    <s v="Debit Card"/>
  </r>
  <r>
    <n v="101074"/>
    <x v="277"/>
    <s v="AD-3988-D"/>
    <s v="Predator Freak"/>
    <x v="1"/>
    <x v="4"/>
    <x v="1"/>
    <n v="3"/>
    <n v="657.03"/>
    <n v="219.01"/>
    <n v="10"/>
    <n v="591.33000000000004"/>
    <n v="166.09"/>
    <n v="34"/>
    <x v="0"/>
    <s v="PayPal"/>
  </r>
  <r>
    <n v="100695"/>
    <x v="278"/>
    <s v="AD-6989-D"/>
    <s v="Ultraboost Light"/>
    <x v="1"/>
    <x v="2"/>
    <x v="0"/>
    <n v="3"/>
    <n v="488.52"/>
    <n v="162.84"/>
    <n v="0"/>
    <n v="488.52"/>
    <n v="148.62"/>
    <n v="43"/>
    <x v="1"/>
    <s v="Apple Pay"/>
  </r>
  <r>
    <n v="101150"/>
    <x v="279"/>
    <s v="AD-3413-D"/>
    <s v="Primegreen Jacket"/>
    <x v="0"/>
    <x v="4"/>
    <x v="0"/>
    <n v="2"/>
    <n v="280.98"/>
    <n v="140.49"/>
    <n v="20"/>
    <n v="224.78"/>
    <n v="75.83"/>
    <n v="29"/>
    <x v="1"/>
    <s v="Debit Card"/>
  </r>
  <r>
    <n v="100723"/>
    <x v="280"/>
    <s v="AD-5778-A"/>
    <s v="Ultraboost Light"/>
    <x v="1"/>
    <x v="1"/>
    <x v="2"/>
    <n v="3"/>
    <n v="442.32"/>
    <n v="147.44"/>
    <n v="40"/>
    <n v="265.39"/>
    <n v="83.86"/>
    <n v="43"/>
    <x v="1"/>
    <s v="NetBanking"/>
  </r>
  <r>
    <n v="101015"/>
    <x v="281"/>
    <s v="AD-6007-D"/>
    <s v="Originals Backpack"/>
    <x v="2"/>
    <x v="0"/>
    <x v="3"/>
    <n v="3"/>
    <n v="179.22"/>
    <n v="59.74"/>
    <n v="0"/>
    <n v="179.22"/>
    <n v="59.57"/>
    <n v="20"/>
    <x v="1"/>
    <s v="Debit Card"/>
  </r>
  <r>
    <n v="100527"/>
    <x v="280"/>
    <s v="AD-5664-C"/>
    <s v="Primegreen Jacket"/>
    <x v="0"/>
    <x v="4"/>
    <x v="0"/>
    <n v="2"/>
    <n v="298.94"/>
    <n v="149.47"/>
    <n v="0"/>
    <n v="298.94"/>
    <n v="82.76"/>
    <n v="43"/>
    <x v="0"/>
    <s v="NetBanking"/>
  </r>
  <r>
    <n v="100599"/>
    <x v="282"/>
    <s v="AD-8001-A"/>
    <s v="Ultraboost Light"/>
    <x v="1"/>
    <x v="4"/>
    <x v="0"/>
    <n v="4"/>
    <n v="620.44000000000005"/>
    <n v="155.11000000000001"/>
    <n v="10"/>
    <n v="558.4"/>
    <n v="140.93"/>
    <n v="24"/>
    <x v="1"/>
    <s v="Debit Card"/>
  </r>
  <r>
    <n v="101119"/>
    <x v="283"/>
    <s v="AD-4056-B"/>
    <s v="Primegreen Jacket"/>
    <x v="0"/>
    <x v="0"/>
    <x v="3"/>
    <n v="3"/>
    <n v="480.78"/>
    <n v="160.26"/>
    <n v="10"/>
    <n v="432.7"/>
    <n v="138.96"/>
    <n v="16"/>
    <x v="0"/>
    <s v="Cash"/>
  </r>
  <r>
    <n v="100566"/>
    <x v="284"/>
    <s v="AD-2405-A"/>
    <s v="Predator Freak"/>
    <x v="1"/>
    <x v="2"/>
    <x v="0"/>
    <n v="3"/>
    <n v="633.09"/>
    <n v="211.03"/>
    <n v="5"/>
    <n v="601.44000000000005"/>
    <n v="181.47"/>
    <n v="31"/>
    <x v="0"/>
    <s v="PayPal"/>
  </r>
  <r>
    <n v="100730"/>
    <x v="152"/>
    <s v="AD-1537-A"/>
    <s v="Stan Smith"/>
    <x v="1"/>
    <x v="0"/>
    <x v="1"/>
    <n v="3"/>
    <n v="287.94"/>
    <n v="95.98"/>
    <n v="10"/>
    <n v="259.14999999999998"/>
    <n v="73.569999999999993"/>
    <n v="32"/>
    <x v="1"/>
    <s v="Debit Card"/>
  </r>
  <r>
    <n v="100273"/>
    <x v="40"/>
    <s v="AD-8212-C"/>
    <s v="Predator Freak"/>
    <x v="1"/>
    <x v="3"/>
    <x v="0"/>
    <n v="2"/>
    <n v="441.06"/>
    <n v="220.53"/>
    <n v="5"/>
    <n v="419.01"/>
    <n v="123.73"/>
    <n v="29"/>
    <x v="0"/>
    <s v="Cash"/>
  </r>
  <r>
    <n v="100966"/>
    <x v="285"/>
    <s v="AD-4846-D"/>
    <s v="Copa Sense"/>
    <x v="1"/>
    <x v="4"/>
    <x v="0"/>
    <n v="2"/>
    <n v="323.06"/>
    <n v="161.53"/>
    <n v="10"/>
    <n v="290.75"/>
    <n v="75.05"/>
    <n v="16"/>
    <x v="1"/>
    <s v="Credit Card"/>
  </r>
  <r>
    <n v="100237"/>
    <x v="286"/>
    <s v="AD-5516-B"/>
    <s v="Sports Bottle"/>
    <x v="2"/>
    <x v="1"/>
    <x v="0"/>
    <n v="2"/>
    <n v="27.56"/>
    <n v="13.78"/>
    <n v="5"/>
    <n v="26.18"/>
    <n v="8.6999999999999993"/>
    <n v="23"/>
    <x v="1"/>
    <s v="PayPal"/>
  </r>
  <r>
    <n v="100405"/>
    <x v="287"/>
    <s v="AD-1313-B"/>
    <s v="Training Cap"/>
    <x v="2"/>
    <x v="4"/>
    <x v="3"/>
    <n v="3"/>
    <n v="57.33"/>
    <n v="19.11"/>
    <n v="5"/>
    <n v="54.46"/>
    <n v="20.02"/>
    <n v="30"/>
    <x v="0"/>
    <s v="Apple Pay"/>
  </r>
  <r>
    <n v="100002"/>
    <x v="288"/>
    <s v="AD-5552-B"/>
    <s v="Essentials Tee"/>
    <x v="0"/>
    <x v="4"/>
    <x v="2"/>
    <n v="3"/>
    <n v="71.58"/>
    <n v="23.86"/>
    <n v="0"/>
    <n v="71.58"/>
    <n v="16.07"/>
    <n v="21"/>
    <x v="0"/>
    <s v="Cash"/>
  </r>
  <r>
    <n v="100006"/>
    <x v="289"/>
    <s v="AD-3803-B"/>
    <s v="Training Shorts"/>
    <x v="0"/>
    <x v="1"/>
    <x v="1"/>
    <n v="2"/>
    <n v="61.4"/>
    <n v="30.7"/>
    <n v="20"/>
    <n v="49.12"/>
    <n v="11.88"/>
    <n v="25"/>
    <x v="0"/>
    <s v="Debit Card"/>
  </r>
  <r>
    <n v="100311"/>
    <x v="290"/>
    <s v="AD-2463-A"/>
    <s v="Stan Smith"/>
    <x v="1"/>
    <x v="1"/>
    <x v="0"/>
    <n v="3"/>
    <n v="244.46999999999997"/>
    <n v="81.489999999999995"/>
    <n v="0"/>
    <n v="244.47"/>
    <n v="98.55"/>
    <n v="21"/>
    <x v="1"/>
    <s v="Apple Pay"/>
  </r>
  <r>
    <n v="101090"/>
    <x v="146"/>
    <s v="AD-5589-C"/>
    <s v="Superstar"/>
    <x v="1"/>
    <x v="1"/>
    <x v="0"/>
    <n v="2"/>
    <n v="177.62"/>
    <n v="88.81"/>
    <n v="5"/>
    <n v="168.74"/>
    <n v="52.11"/>
    <n v="30"/>
    <x v="1"/>
    <s v="Debit Card"/>
  </r>
  <r>
    <n v="100451"/>
    <x v="291"/>
    <s v="AD-2200-A"/>
    <s v="Superstar"/>
    <x v="1"/>
    <x v="4"/>
    <x v="1"/>
    <n v="1"/>
    <n v="96.41"/>
    <n v="96.41"/>
    <n v="0"/>
    <n v="96.41"/>
    <n v="36.99"/>
    <n v="40"/>
    <x v="1"/>
    <s v="Debit Card"/>
  </r>
  <r>
    <n v="100721"/>
    <x v="292"/>
    <s v="AD-2959-C"/>
    <s v="Training Shorts"/>
    <x v="0"/>
    <x v="0"/>
    <x v="2"/>
    <n v="2"/>
    <n v="62.84"/>
    <n v="31.42"/>
    <n v="0"/>
    <n v="62.84"/>
    <n v="15.89"/>
    <n v="23"/>
    <x v="0"/>
    <s v="Google Pay"/>
  </r>
  <r>
    <n v="100215"/>
    <x v="293"/>
    <s v="AD-2294-C"/>
    <s v="Primegreen Jacket"/>
    <x v="0"/>
    <x v="3"/>
    <x v="2"/>
    <n v="6"/>
    <n v="862.08"/>
    <n v="143.68"/>
    <n v="0"/>
    <n v="862.08"/>
    <n v="302.91000000000003"/>
    <n v="20"/>
    <x v="1"/>
    <s v="NetBanking"/>
  </r>
  <r>
    <n v="101085"/>
    <x v="294"/>
    <s v="AD-1388-D"/>
    <s v="Stan Smith"/>
    <x v="1"/>
    <x v="2"/>
    <x v="1"/>
    <n v="4"/>
    <n v="271.83999999999997"/>
    <n v="67.959999999999994"/>
    <n v="5"/>
    <n v="258.25"/>
    <n v="117.48"/>
    <n v="27"/>
    <x v="1"/>
    <s v="PayPal"/>
  </r>
  <r>
    <n v="100027"/>
    <x v="295"/>
    <s v="AD-4044-A"/>
    <s v="Training Cap"/>
    <x v="2"/>
    <x v="2"/>
    <x v="0"/>
    <n v="5"/>
    <n v="107.15"/>
    <n v="21.43"/>
    <n v="0"/>
    <n v="107.15"/>
    <n v="45.59"/>
    <n v="50"/>
    <x v="0"/>
    <s v="Debit Card"/>
  </r>
  <r>
    <n v="101157"/>
    <x v="296"/>
    <s v="AD-2544-B"/>
    <s v="Copa Sense"/>
    <x v="1"/>
    <x v="1"/>
    <x v="0"/>
    <n v="2"/>
    <n v="331.22"/>
    <n v="165.61"/>
    <n v="0"/>
    <n v="331.22"/>
    <n v="93.05"/>
    <n v="19"/>
    <x v="0"/>
    <s v="Credit Card"/>
  </r>
  <r>
    <n v="100361"/>
    <x v="297"/>
    <s v="AD-2661-D"/>
    <s v="Originals Backpack"/>
    <x v="2"/>
    <x v="2"/>
    <x v="1"/>
    <n v="4"/>
    <n v="282.83999999999997"/>
    <n v="70.709999999999994"/>
    <n v="0"/>
    <n v="282.83999999999997"/>
    <n v="77.739999999999995"/>
    <n v="25"/>
    <x v="1"/>
    <s v="Apple Pay"/>
  </r>
  <r>
    <n v="100822"/>
    <x v="275"/>
    <s v="AD-7815-D"/>
    <s v="Superstar"/>
    <x v="1"/>
    <x v="4"/>
    <x v="0"/>
    <n v="1"/>
    <n v="98.91"/>
    <n v="98.91"/>
    <n v="0"/>
    <n v="98.91"/>
    <n v="33.729999999999997"/>
    <n v="22"/>
    <x v="0"/>
    <s v="Debit Card"/>
  </r>
  <r>
    <n v="100780"/>
    <x v="298"/>
    <s v="AD-5289-B"/>
    <s v="Sports Bottle"/>
    <x v="2"/>
    <x v="0"/>
    <x v="2"/>
    <n v="3"/>
    <n v="44.37"/>
    <n v="14.79"/>
    <n v="0"/>
    <n v="44.37"/>
    <n v="16.170000000000002"/>
    <n v="29"/>
    <x v="0"/>
    <s v="UPI"/>
  </r>
  <r>
    <n v="100628"/>
    <x v="299"/>
    <s v="AD-8294-B"/>
    <s v="Running Watch Strap"/>
    <x v="2"/>
    <x v="4"/>
    <x v="1"/>
    <n v="4"/>
    <n v="165.88"/>
    <n v="41.47"/>
    <n v="0"/>
    <n v="165.88"/>
    <n v="43.36"/>
    <n v="16"/>
    <x v="1"/>
    <s v="Debit Card"/>
  </r>
  <r>
    <n v="100453"/>
    <x v="268"/>
    <s v="AD-1745-A"/>
    <s v="Z.N.E. Hoodie"/>
    <x v="0"/>
    <x v="0"/>
    <x v="1"/>
    <n v="3"/>
    <n v="389.18999999999994"/>
    <n v="129.72999999999999"/>
    <n v="10"/>
    <n v="350.27"/>
    <n v="119.46"/>
    <n v="32"/>
    <x v="0"/>
    <s v="Debit Card"/>
  </r>
  <r>
    <n v="100738"/>
    <x v="300"/>
    <s v="AD-8793-C"/>
    <s v="Performance Socks (3-pack)"/>
    <x v="2"/>
    <x v="1"/>
    <x v="3"/>
    <n v="2"/>
    <n v="42.3"/>
    <n v="21.15"/>
    <n v="20"/>
    <n v="33.840000000000003"/>
    <n v="12.52"/>
    <n v="29"/>
    <x v="1"/>
    <s v="Debit Card"/>
  </r>
  <r>
    <n v="100535"/>
    <x v="301"/>
    <s v="AD-2850-B"/>
    <s v="Training Cap"/>
    <x v="2"/>
    <x v="4"/>
    <x v="2"/>
    <n v="2"/>
    <n v="45.9"/>
    <n v="22.95"/>
    <n v="0"/>
    <n v="45.9"/>
    <n v="16.100000000000001"/>
    <n v="33"/>
    <x v="0"/>
    <s v="UPI"/>
  </r>
  <r>
    <n v="101049"/>
    <x v="302"/>
    <s v="AD-6317-A"/>
    <s v="Adicolor Hoodie"/>
    <x v="0"/>
    <x v="4"/>
    <x v="0"/>
    <n v="4"/>
    <n v="301.72000000000003"/>
    <n v="75.430000000000007"/>
    <n v="0"/>
    <n v="301.72000000000003"/>
    <n v="100.75"/>
    <n v="30"/>
    <x v="0"/>
    <s v="Cash"/>
  </r>
  <r>
    <n v="100398"/>
    <x v="303"/>
    <s v="AD-3250-B"/>
    <s v="Stan Smith"/>
    <x v="1"/>
    <x v="1"/>
    <x v="0"/>
    <n v="3"/>
    <n v="202.74"/>
    <n v="67.58"/>
    <n v="0"/>
    <n v="202.74"/>
    <n v="58.89"/>
    <n v="34"/>
    <x v="1"/>
    <s v="PayPal"/>
  </r>
  <r>
    <n v="100256"/>
    <x v="304"/>
    <s v="AD-1280-D"/>
    <s v="Ultraboost 22"/>
    <x v="1"/>
    <x v="1"/>
    <x v="0"/>
    <n v="5"/>
    <n v="863.5"/>
    <n v="172.7"/>
    <n v="0"/>
    <n v="863.5"/>
    <n v="208.49"/>
    <n v="25"/>
    <x v="0"/>
    <s v="NetBanking"/>
  </r>
  <r>
    <n v="100291"/>
    <x v="305"/>
    <s v="AD-3258-D"/>
    <s v="Adicolor Hoodie"/>
    <x v="0"/>
    <x v="4"/>
    <x v="1"/>
    <n v="3"/>
    <n v="206.73"/>
    <n v="68.91"/>
    <n v="5"/>
    <n v="196.39"/>
    <n v="41.2"/>
    <n v="16"/>
    <x v="1"/>
    <s v="Apple Pay"/>
  </r>
  <r>
    <n v="100025"/>
    <x v="202"/>
    <s v="AD-7930-D"/>
    <s v="Primegreen Jacket"/>
    <x v="0"/>
    <x v="1"/>
    <x v="3"/>
    <n v="2"/>
    <n v="268.72000000000003"/>
    <n v="134.36000000000001"/>
    <n v="10"/>
    <n v="241.85"/>
    <n v="45.22"/>
    <n v="30"/>
    <x v="0"/>
    <s v="NetBanking"/>
  </r>
  <r>
    <n v="100336"/>
    <x v="306"/>
    <s v="AD-6211-D"/>
    <s v="Predator Freak"/>
    <x v="1"/>
    <x v="4"/>
    <x v="0"/>
    <n v="1"/>
    <n v="212.26"/>
    <n v="212.26"/>
    <n v="20"/>
    <n v="169.81"/>
    <n v="32.200000000000003"/>
    <n v="26"/>
    <x v="0"/>
    <s v="Cash"/>
  </r>
  <r>
    <n v="100584"/>
    <x v="65"/>
    <s v="AD-6323-D"/>
    <s v="Adilette Slides"/>
    <x v="1"/>
    <x v="4"/>
    <x v="3"/>
    <n v="2"/>
    <n v="68"/>
    <n v="34"/>
    <n v="0"/>
    <n v="68"/>
    <n v="20.12"/>
    <n v="24"/>
    <x v="2"/>
    <s v="Google Pay"/>
  </r>
  <r>
    <n v="100047"/>
    <x v="307"/>
    <s v="AD-8618-D"/>
    <s v="Ultraboost 22"/>
    <x v="1"/>
    <x v="4"/>
    <x v="1"/>
    <n v="2"/>
    <n v="389.74"/>
    <n v="194.87"/>
    <n v="5"/>
    <n v="370.25"/>
    <n v="134.53"/>
    <n v="24"/>
    <x v="0"/>
    <s v="Cash"/>
  </r>
  <r>
    <n v="100318"/>
    <x v="308"/>
    <s v="AD-1273-A"/>
    <s v="Running Watch Strap"/>
    <x v="2"/>
    <x v="1"/>
    <x v="0"/>
    <n v="4"/>
    <n v="151.52000000000001"/>
    <n v="37.880000000000003"/>
    <n v="5"/>
    <n v="143.94"/>
    <n v="27.05"/>
    <n v="29"/>
    <x v="1"/>
    <s v="Debit Card"/>
  </r>
  <r>
    <n v="100106"/>
    <x v="154"/>
    <s v="AD-7302-D"/>
    <s v="Tiro 23 Track Pants"/>
    <x v="0"/>
    <x v="1"/>
    <x v="0"/>
    <n v="4"/>
    <n v="188.84"/>
    <n v="47.21"/>
    <n v="0"/>
    <n v="188.84"/>
    <n v="41.18"/>
    <n v="31"/>
    <x v="0"/>
    <s v="UPI"/>
  </r>
  <r>
    <n v="100798"/>
    <x v="309"/>
    <s v="AD-6323-B"/>
    <s v="Essentials Tee"/>
    <x v="0"/>
    <x v="4"/>
    <x v="3"/>
    <n v="4"/>
    <n v="96.96"/>
    <n v="24.24"/>
    <n v="0"/>
    <n v="96.96"/>
    <n v="30.33"/>
    <n v="16"/>
    <x v="0"/>
    <s v="Google Pay"/>
  </r>
  <r>
    <n v="100055"/>
    <x v="310"/>
    <s v="AD-6421-D"/>
    <s v="Predator Freak"/>
    <x v="1"/>
    <x v="0"/>
    <x v="1"/>
    <n v="1"/>
    <n v="234.95"/>
    <n v="234.95"/>
    <n v="20"/>
    <n v="187.96"/>
    <n v="65.34"/>
    <n v="41"/>
    <x v="1"/>
    <s v="Apple Pay"/>
  </r>
  <r>
    <n v="100522"/>
    <x v="311"/>
    <s v="AD-8480-D"/>
    <s v="Sports Bottle"/>
    <x v="2"/>
    <x v="1"/>
    <x v="0"/>
    <n v="2"/>
    <n v="29"/>
    <n v="14.5"/>
    <n v="0"/>
    <n v="29"/>
    <n v="7.69"/>
    <n v="29"/>
    <x v="0"/>
    <s v="PayPal"/>
  </r>
  <r>
    <n v="100213"/>
    <x v="312"/>
    <s v="AD-4396-D"/>
    <s v="Adicolor Hoodie"/>
    <x v="0"/>
    <x v="4"/>
    <x v="3"/>
    <n v="3"/>
    <n v="217.56"/>
    <n v="72.52"/>
    <n v="40"/>
    <n v="130.54"/>
    <n v="49.34"/>
    <n v="20"/>
    <x v="2"/>
    <s v="NetBanking"/>
  </r>
  <r>
    <n v="100120"/>
    <x v="281"/>
    <s v="AD-1349-A"/>
    <s v="Adilette Slides"/>
    <x v="1"/>
    <x v="3"/>
    <x v="2"/>
    <n v="3"/>
    <n v="100.05000000000001"/>
    <n v="33.35"/>
    <n v="0"/>
    <n v="100.05"/>
    <n v="29.35"/>
    <n v="21"/>
    <x v="1"/>
    <s v="UPI"/>
  </r>
  <r>
    <n v="100917"/>
    <x v="313"/>
    <s v="AD-5991-A"/>
    <s v="Primegreen Jacket"/>
    <x v="0"/>
    <x v="1"/>
    <x v="1"/>
    <n v="1"/>
    <n v="121.1"/>
    <n v="121.1"/>
    <n v="10"/>
    <n v="108.99"/>
    <n v="23.56"/>
    <n v="29"/>
    <x v="1"/>
    <s v="Google Pay"/>
  </r>
  <r>
    <n v="101067"/>
    <x v="314"/>
    <s v="AD-8885-D"/>
    <s v="Z.N.E. Hoodie"/>
    <x v="0"/>
    <x v="4"/>
    <x v="0"/>
    <n v="3"/>
    <n v="357.84000000000003"/>
    <n v="119.28"/>
    <n v="0"/>
    <n v="357.84"/>
    <n v="121.1"/>
    <n v="32"/>
    <x v="1"/>
    <s v="Apple Pay"/>
  </r>
  <r>
    <n v="101117"/>
    <x v="315"/>
    <s v="AD-3605-C"/>
    <s v="Predator Freak"/>
    <x v="1"/>
    <x v="0"/>
    <x v="1"/>
    <n v="6"/>
    <n v="1405.5"/>
    <n v="234.25"/>
    <n v="0"/>
    <n v="1405.5"/>
    <n v="364.55"/>
    <n v="46"/>
    <x v="0"/>
    <s v="NetBanking"/>
  </r>
  <r>
    <n v="100072"/>
    <x v="12"/>
    <s v="AD-9698-C"/>
    <s v="Tiro 23 Track Pants"/>
    <x v="0"/>
    <x v="0"/>
    <x v="0"/>
    <n v="2"/>
    <n v="97.22"/>
    <n v="48.61"/>
    <n v="20"/>
    <n v="77.78"/>
    <n v="25.44"/>
    <n v="38"/>
    <x v="0"/>
    <s v="Google Pay"/>
  </r>
  <r>
    <n v="100947"/>
    <x v="90"/>
    <s v="AD-1853-B"/>
    <s v="Z.N.E. Hoodie"/>
    <x v="0"/>
    <x v="0"/>
    <x v="0"/>
    <n v="4"/>
    <n v="508.44"/>
    <n v="127.11"/>
    <n v="20"/>
    <n v="406.75"/>
    <n v="136.83000000000001"/>
    <n v="26"/>
    <x v="1"/>
    <s v="UPI"/>
  </r>
  <r>
    <n v="100746"/>
    <x v="316"/>
    <s v="AD-1517-D"/>
    <s v="Training Cap"/>
    <x v="2"/>
    <x v="4"/>
    <x v="0"/>
    <n v="2"/>
    <n v="36.74"/>
    <n v="18.37"/>
    <n v="5"/>
    <n v="34.9"/>
    <n v="11.59"/>
    <n v="16"/>
    <x v="0"/>
    <s v="Credit Card"/>
  </r>
  <r>
    <n v="100715"/>
    <x v="317"/>
    <s v="AD-7786-B"/>
    <s v="Originals Backpack"/>
    <x v="2"/>
    <x v="4"/>
    <x v="2"/>
    <n v="3"/>
    <n v="171.87"/>
    <n v="57.29"/>
    <n v="0"/>
    <n v="171.87"/>
    <n v="70.94"/>
    <n v="33"/>
    <x v="0"/>
    <s v="Apple Pay"/>
  </r>
  <r>
    <n v="100557"/>
    <x v="318"/>
    <s v="AD-5921-A"/>
    <s v="Adilette Slides"/>
    <x v="1"/>
    <x v="0"/>
    <x v="1"/>
    <n v="1"/>
    <n v="36.42"/>
    <n v="36.42"/>
    <n v="0"/>
    <n v="36.42"/>
    <n v="8.8699999999999992"/>
    <n v="49"/>
    <x v="1"/>
    <s v="Debit Card"/>
  </r>
  <r>
    <n v="101081"/>
    <x v="319"/>
    <s v="AD-9873-A"/>
    <s v="Superstar"/>
    <x v="1"/>
    <x v="0"/>
    <x v="0"/>
    <n v="3"/>
    <n v="330.03000000000003"/>
    <n v="110.01"/>
    <n v="5"/>
    <n v="313.52999999999997"/>
    <n v="123.66"/>
    <n v="28"/>
    <x v="1"/>
    <s v="PayPal"/>
  </r>
  <r>
    <n v="101045"/>
    <x v="251"/>
    <s v="AD-7393-D"/>
    <s v="Sports Bottle"/>
    <x v="2"/>
    <x v="3"/>
    <x v="0"/>
    <n v="4"/>
    <n v="69.760000000000005"/>
    <n v="17.440000000000001"/>
    <n v="0"/>
    <n v="69.760000000000005"/>
    <n v="33.71"/>
    <n v="28"/>
    <x v="0"/>
    <s v="Apple Pay"/>
  </r>
  <r>
    <n v="100552"/>
    <x v="19"/>
    <s v="AD-4943-B"/>
    <s v="Z.N.E. Hoodie"/>
    <x v="0"/>
    <x v="1"/>
    <x v="1"/>
    <n v="5"/>
    <n v="644.75"/>
    <n v="128.94999999999999"/>
    <n v="0"/>
    <n v="644.75"/>
    <n v="171.38"/>
    <n v="25"/>
    <x v="0"/>
    <s v="Cash"/>
  </r>
  <r>
    <n v="100561"/>
    <x v="104"/>
    <s v="AD-3425-B"/>
    <s v="Performance Socks (3-pack)"/>
    <x v="2"/>
    <x v="0"/>
    <x v="0"/>
    <n v="1"/>
    <n v="17.79"/>
    <n v="17.79"/>
    <n v="0"/>
    <n v="17.79"/>
    <n v="5.36"/>
    <n v="45"/>
    <x v="1"/>
    <s v="Apple Pay"/>
  </r>
  <r>
    <n v="100424"/>
    <x v="153"/>
    <s v="AD-1587-A"/>
    <s v="Z.N.E. Hoodie"/>
    <x v="0"/>
    <x v="1"/>
    <x v="1"/>
    <n v="2"/>
    <n v="212.14"/>
    <n v="106.07"/>
    <n v="10"/>
    <n v="190.93"/>
    <n v="53.32"/>
    <n v="37"/>
    <x v="1"/>
    <s v="Apple Pay"/>
  </r>
  <r>
    <n v="101013"/>
    <x v="249"/>
    <s v="AD-1866-C"/>
    <s v="Ultraboost 22"/>
    <x v="1"/>
    <x v="0"/>
    <x v="1"/>
    <n v="3"/>
    <n v="589.68000000000006"/>
    <n v="196.56"/>
    <n v="0"/>
    <n v="589.67999999999995"/>
    <n v="194.21"/>
    <n v="24"/>
    <x v="1"/>
    <s v="NetBanking"/>
  </r>
  <r>
    <n v="100325"/>
    <x v="320"/>
    <s v="AD-7024-B"/>
    <s v="Running Watch Strap"/>
    <x v="2"/>
    <x v="1"/>
    <x v="1"/>
    <n v="3"/>
    <n v="121.83"/>
    <n v="40.61"/>
    <n v="0"/>
    <n v="121.83"/>
    <n v="41.88"/>
    <n v="32"/>
    <x v="1"/>
    <s v="PayPal"/>
  </r>
  <r>
    <n v="100923"/>
    <x v="321"/>
    <s v="AD-8539-D"/>
    <s v="Primegreen Jacket"/>
    <x v="0"/>
    <x v="4"/>
    <x v="0"/>
    <n v="3"/>
    <n v="430.26"/>
    <n v="143.41999999999999"/>
    <n v="0"/>
    <n v="430.26"/>
    <n v="137.33000000000001"/>
    <n v="37"/>
    <x v="0"/>
    <s v="Google Pay"/>
  </r>
  <r>
    <n v="100316"/>
    <x v="296"/>
    <s v="AD-9108-D"/>
    <s v="Gym Bag"/>
    <x v="2"/>
    <x v="4"/>
    <x v="0"/>
    <n v="4"/>
    <n v="149.44"/>
    <n v="37.36"/>
    <n v="0"/>
    <n v="149.44"/>
    <n v="42.96"/>
    <n v="36"/>
    <x v="0"/>
    <s v="UPI"/>
  </r>
  <r>
    <n v="100803"/>
    <x v="322"/>
    <s v="AD-8112-D"/>
    <s v="Essentials Tee"/>
    <x v="0"/>
    <x v="1"/>
    <x v="1"/>
    <n v="3"/>
    <n v="78.63"/>
    <n v="26.21"/>
    <n v="0"/>
    <n v="78.63"/>
    <n v="21.36"/>
    <n v="39"/>
    <x v="0"/>
    <s v="PayPal"/>
  </r>
  <r>
    <n v="101162"/>
    <x v="229"/>
    <s v="AD-6747-C"/>
    <s v="Predator Freak"/>
    <x v="1"/>
    <x v="4"/>
    <x v="2"/>
    <n v="1"/>
    <n v="214.74"/>
    <n v="214.74"/>
    <n v="0"/>
    <n v="214.74"/>
    <n v="60.58"/>
    <n v="18"/>
    <x v="1"/>
    <s v="Google Pay"/>
  </r>
  <r>
    <n v="100528"/>
    <x v="323"/>
    <s v="AD-5458-D"/>
    <s v="Adilette Slides"/>
    <x v="1"/>
    <x v="4"/>
    <x v="0"/>
    <n v="3"/>
    <n v="115.47"/>
    <n v="38.49"/>
    <n v="0"/>
    <n v="115.47"/>
    <n v="34.28"/>
    <n v="25"/>
    <x v="0"/>
    <s v="Google Pay"/>
  </r>
  <r>
    <n v="100836"/>
    <x v="324"/>
    <s v="AD-2380-A"/>
    <s v="Training Shorts"/>
    <x v="0"/>
    <x v="0"/>
    <x v="0"/>
    <n v="3"/>
    <n v="101.22"/>
    <n v="33.74"/>
    <n v="0"/>
    <n v="101.22"/>
    <n v="31.5"/>
    <n v="36"/>
    <x v="1"/>
    <s v="NetBanking"/>
  </r>
  <r>
    <n v="100714"/>
    <x v="325"/>
    <s v="AD-4533-D"/>
    <s v="Training Shorts"/>
    <x v="0"/>
    <x v="1"/>
    <x v="0"/>
    <n v="2"/>
    <n v="62.68"/>
    <n v="31.34"/>
    <n v="10"/>
    <n v="56.41"/>
    <n v="15.34"/>
    <n v="40"/>
    <x v="1"/>
    <s v="Debit Card"/>
  </r>
  <r>
    <n v="100900"/>
    <x v="326"/>
    <s v="AD-5006-A"/>
    <s v="Predator Freak"/>
    <x v="1"/>
    <x v="4"/>
    <x v="0"/>
    <n v="4"/>
    <n v="855.96"/>
    <n v="213.99"/>
    <n v="0"/>
    <n v="855.96"/>
    <n v="293.89999999999998"/>
    <n v="29"/>
    <x v="1"/>
    <s v="Apple Pay"/>
  </r>
  <r>
    <n v="100060"/>
    <x v="327"/>
    <s v="AD-5558-D"/>
    <s v="Ultraboost Light"/>
    <x v="1"/>
    <x v="1"/>
    <x v="1"/>
    <n v="2"/>
    <n v="345.9"/>
    <n v="172.95"/>
    <n v="40"/>
    <n v="207.54"/>
    <n v="73.319999999999993"/>
    <n v="39"/>
    <x v="1"/>
    <s v="Apple Pay"/>
  </r>
  <r>
    <n v="100722"/>
    <x v="180"/>
    <s v="AD-3219-C"/>
    <s v="Running Watch Strap"/>
    <x v="2"/>
    <x v="4"/>
    <x v="1"/>
    <n v="1"/>
    <n v="39.979999999999997"/>
    <n v="39.979999999999997"/>
    <n v="10"/>
    <n v="35.979999999999997"/>
    <n v="11.33"/>
    <n v="33"/>
    <x v="1"/>
    <s v="Google Pay"/>
  </r>
  <r>
    <n v="100092"/>
    <x v="328"/>
    <s v="AD-7684-A"/>
    <s v="Ultraboost 22"/>
    <x v="1"/>
    <x v="0"/>
    <x v="0"/>
    <n v="2"/>
    <n v="360.82"/>
    <n v="180.41"/>
    <n v="0"/>
    <n v="360.82"/>
    <n v="125.72"/>
    <n v="42"/>
    <x v="1"/>
    <s v="Credit Card"/>
  </r>
  <r>
    <n v="100857"/>
    <x v="101"/>
    <s v="AD-5187-A"/>
    <s v="Essentials Tee"/>
    <x v="0"/>
    <x v="3"/>
    <x v="1"/>
    <n v="1"/>
    <n v="23.3"/>
    <n v="23.3"/>
    <n v="10"/>
    <n v="20.97"/>
    <n v="6.89"/>
    <n v="25"/>
    <x v="1"/>
    <s v="PayPal"/>
  </r>
  <r>
    <n v="100618"/>
    <x v="169"/>
    <s v="AD-6218-C"/>
    <s v="Stan Smith"/>
    <x v="1"/>
    <x v="0"/>
    <x v="1"/>
    <n v="6"/>
    <n v="580.68000000000006"/>
    <n v="96.78"/>
    <n v="10"/>
    <n v="522.61"/>
    <n v="175.15"/>
    <n v="26"/>
    <x v="1"/>
    <s v="Cash"/>
  </r>
  <r>
    <n v="100351"/>
    <x v="329"/>
    <s v="AD-6761-B"/>
    <s v="Copa Sense"/>
    <x v="1"/>
    <x v="0"/>
    <x v="2"/>
    <n v="4"/>
    <n v="550.48"/>
    <n v="137.62"/>
    <n v="20"/>
    <n v="440.38"/>
    <n v="108.09"/>
    <n v="26"/>
    <x v="0"/>
    <s v="Credit Card"/>
  </r>
  <r>
    <n v="100932"/>
    <x v="330"/>
    <s v="AD-9721-B"/>
    <s v="Ultraboost 22"/>
    <x v="1"/>
    <x v="4"/>
    <x v="0"/>
    <n v="4"/>
    <n v="635.20000000000005"/>
    <n v="158.80000000000001"/>
    <n v="0"/>
    <n v="635.20000000000005"/>
    <n v="146.93"/>
    <n v="20"/>
    <x v="1"/>
    <s v="Credit Card"/>
  </r>
  <r>
    <n v="100280"/>
    <x v="331"/>
    <s v="AD-6432-D"/>
    <s v="Adicolor Hoodie"/>
    <x v="0"/>
    <x v="1"/>
    <x v="1"/>
    <n v="2"/>
    <n v="138.63999999999999"/>
    <n v="69.319999999999993"/>
    <n v="0"/>
    <n v="138.63999999999999"/>
    <n v="42.31"/>
    <n v="35"/>
    <x v="1"/>
    <s v="Apple Pay"/>
  </r>
  <r>
    <n v="100420"/>
    <x v="332"/>
    <s v="AD-8895-C"/>
    <s v="Z.N.E. Hoodie"/>
    <x v="0"/>
    <x v="0"/>
    <x v="1"/>
    <n v="6"/>
    <n v="642.59999999999991"/>
    <n v="107.1"/>
    <n v="0"/>
    <n v="642.6"/>
    <n v="118.11"/>
    <n v="33"/>
    <x v="1"/>
    <s v="UPI"/>
  </r>
  <r>
    <n v="101114"/>
    <x v="74"/>
    <s v="AD-6490-B"/>
    <s v="Originals Backpack"/>
    <x v="2"/>
    <x v="4"/>
    <x v="1"/>
    <n v="1"/>
    <n v="53.66"/>
    <n v="53.66"/>
    <n v="10"/>
    <n v="48.29"/>
    <n v="18.54"/>
    <n v="27"/>
    <x v="0"/>
    <s v="Cash"/>
  </r>
  <r>
    <n v="100359"/>
    <x v="333"/>
    <s v="AD-6500-D"/>
    <s v="Z.N.E. Hoodie"/>
    <x v="0"/>
    <x v="4"/>
    <x v="3"/>
    <n v="5"/>
    <n v="611"/>
    <n v="122.2"/>
    <n v="0"/>
    <n v="611"/>
    <n v="167.15"/>
    <n v="33"/>
    <x v="1"/>
    <s v="Debit Card"/>
  </r>
  <r>
    <n v="100422"/>
    <x v="209"/>
    <s v="AD-1824-B"/>
    <s v="Training Cap"/>
    <x v="2"/>
    <x v="4"/>
    <x v="1"/>
    <n v="5"/>
    <n v="106.4"/>
    <n v="21.28"/>
    <n v="0"/>
    <n v="106.4"/>
    <n v="40.22"/>
    <n v="23"/>
    <x v="1"/>
    <s v="NetBanking"/>
  </r>
  <r>
    <n v="100678"/>
    <x v="334"/>
    <s v="AD-8605-B"/>
    <s v="Stan Smith"/>
    <x v="1"/>
    <x v="3"/>
    <x v="1"/>
    <n v="6"/>
    <n v="534.36"/>
    <n v="89.06"/>
    <n v="0"/>
    <n v="534.36"/>
    <n v="143.36000000000001"/>
    <n v="29"/>
    <x v="0"/>
    <s v="UPI"/>
  </r>
  <r>
    <n v="100526"/>
    <x v="166"/>
    <s v="AD-7467-B"/>
    <s v="Adicolor Hoodie"/>
    <x v="0"/>
    <x v="1"/>
    <x v="0"/>
    <n v="5"/>
    <n v="365.15"/>
    <n v="73.03"/>
    <n v="0"/>
    <n v="365.15"/>
    <n v="138.19999999999999"/>
    <n v="27"/>
    <x v="0"/>
    <s v="Apple Pay"/>
  </r>
  <r>
    <n v="100477"/>
    <x v="335"/>
    <s v="AD-3979-C"/>
    <s v="NMD_R1"/>
    <x v="1"/>
    <x v="2"/>
    <x v="0"/>
    <n v="2"/>
    <n v="247.66"/>
    <n v="123.83"/>
    <n v="0"/>
    <n v="247.66"/>
    <n v="75.69"/>
    <n v="33"/>
    <x v="0"/>
    <s v="PayPal"/>
  </r>
  <r>
    <n v="101094"/>
    <x v="336"/>
    <s v="AD-5762-D"/>
    <s v="Ultraboost Light"/>
    <x v="1"/>
    <x v="4"/>
    <x v="2"/>
    <n v="4"/>
    <n v="517.52"/>
    <n v="129.38"/>
    <n v="0"/>
    <n v="517.52"/>
    <n v="124.13"/>
    <n v="18"/>
    <x v="1"/>
    <s v="Debit Card"/>
  </r>
  <r>
    <n v="100182"/>
    <x v="337"/>
    <s v="AD-3513-D"/>
    <s v="Superstar"/>
    <x v="1"/>
    <x v="0"/>
    <x v="0"/>
    <n v="3"/>
    <n v="297.99"/>
    <n v="99.33"/>
    <n v="20"/>
    <n v="238.39"/>
    <n v="76.849999999999994"/>
    <n v="39"/>
    <x v="0"/>
    <s v="Credit Card"/>
  </r>
  <r>
    <n v="101091"/>
    <x v="126"/>
    <s v="AD-8242-B"/>
    <s v="Superstar"/>
    <x v="1"/>
    <x v="0"/>
    <x v="1"/>
    <n v="3"/>
    <n v="291.12"/>
    <n v="97.04"/>
    <n v="10"/>
    <n v="262.01"/>
    <n v="102.99"/>
    <n v="22"/>
    <x v="2"/>
    <s v="NetBanking"/>
  </r>
  <r>
    <n v="100432"/>
    <x v="22"/>
    <s v="AD-9259-D"/>
    <s v="Running Watch Strap"/>
    <x v="2"/>
    <x v="0"/>
    <x v="0"/>
    <n v="3"/>
    <n v="114.27000000000001"/>
    <n v="38.090000000000003"/>
    <n v="20"/>
    <n v="91.42"/>
    <n v="31.63"/>
    <n v="33"/>
    <x v="0"/>
    <s v="Cash"/>
  </r>
  <r>
    <n v="100110"/>
    <x v="338"/>
    <s v="AD-7807-B"/>
    <s v="Performance Socks (3-pack)"/>
    <x v="2"/>
    <x v="1"/>
    <x v="0"/>
    <n v="3"/>
    <n v="52.92"/>
    <n v="17.64"/>
    <n v="10"/>
    <n v="47.63"/>
    <n v="20.059999999999999"/>
    <n v="30"/>
    <x v="0"/>
    <s v="Cash"/>
  </r>
  <r>
    <n v="100370"/>
    <x v="339"/>
    <s v="AD-9871-D"/>
    <s v="Essentials Tee"/>
    <x v="0"/>
    <x v="4"/>
    <x v="1"/>
    <n v="4"/>
    <n v="98.92"/>
    <n v="24.73"/>
    <n v="0"/>
    <n v="98.92"/>
    <n v="33.65"/>
    <n v="45"/>
    <x v="1"/>
    <s v="Cash"/>
  </r>
  <r>
    <n v="100239"/>
    <x v="340"/>
    <s v="AD-1724-D"/>
    <s v="Stan Smith"/>
    <x v="1"/>
    <x v="1"/>
    <x v="1"/>
    <n v="5"/>
    <n v="383.84999999999997"/>
    <n v="76.77"/>
    <n v="0"/>
    <n v="383.85"/>
    <n v="117.01"/>
    <n v="24"/>
    <x v="0"/>
    <s v="UPI"/>
  </r>
  <r>
    <n v="100708"/>
    <x v="341"/>
    <s v="AD-6246-B"/>
    <s v="Tiro 23 Track Pants"/>
    <x v="0"/>
    <x v="4"/>
    <x v="3"/>
    <n v="3"/>
    <n v="172.74"/>
    <n v="57.58"/>
    <n v="10"/>
    <n v="155.47"/>
    <n v="39.68"/>
    <n v="42"/>
    <x v="0"/>
    <s v="Google Pay"/>
  </r>
  <r>
    <n v="100629"/>
    <x v="342"/>
    <s v="AD-6364-D"/>
    <s v="Primegreen Jacket"/>
    <x v="0"/>
    <x v="4"/>
    <x v="2"/>
    <n v="4"/>
    <n v="499.28"/>
    <n v="124.82"/>
    <n v="10"/>
    <n v="449.35"/>
    <n v="136.62"/>
    <n v="31"/>
    <x v="0"/>
    <s v="Apple Pay"/>
  </r>
  <r>
    <n v="100593"/>
    <x v="171"/>
    <s v="AD-3155-B"/>
    <s v="Tiro 23 Track Pants"/>
    <x v="0"/>
    <x v="0"/>
    <x v="0"/>
    <n v="2"/>
    <n v="106.34"/>
    <n v="53.17"/>
    <n v="5"/>
    <n v="101.02"/>
    <n v="20.3"/>
    <n v="36"/>
    <x v="0"/>
    <s v="Debit Card"/>
  </r>
  <r>
    <n v="100485"/>
    <x v="40"/>
    <s v="AD-5514-D"/>
    <s v="Predator Freak"/>
    <x v="1"/>
    <x v="0"/>
    <x v="0"/>
    <n v="3"/>
    <n v="635.84999999999991"/>
    <n v="211.95"/>
    <n v="5"/>
    <n v="604.05999999999995"/>
    <n v="172.89"/>
    <n v="37"/>
    <x v="1"/>
    <s v="Cash"/>
  </r>
  <r>
    <n v="100700"/>
    <x v="50"/>
    <s v="AD-5521-A"/>
    <s v="Superstar"/>
    <x v="1"/>
    <x v="4"/>
    <x v="3"/>
    <n v="5"/>
    <n v="448.7"/>
    <n v="89.74"/>
    <n v="5"/>
    <n v="426.26"/>
    <n v="85.91"/>
    <n v="28"/>
    <x v="1"/>
    <s v="PayPal"/>
  </r>
  <r>
    <n v="100261"/>
    <x v="343"/>
    <s v="AD-3938-C"/>
    <s v="Running Watch Strap"/>
    <x v="2"/>
    <x v="4"/>
    <x v="0"/>
    <n v="6"/>
    <n v="235.98"/>
    <n v="39.33"/>
    <n v="5"/>
    <n v="224.18"/>
    <n v="84.62"/>
    <n v="26"/>
    <x v="0"/>
    <s v="Credit Card"/>
  </r>
  <r>
    <n v="100479"/>
    <x v="344"/>
    <s v="AD-3906-D"/>
    <s v="Gym Bag"/>
    <x v="2"/>
    <x v="1"/>
    <x v="0"/>
    <n v="4"/>
    <n v="161.32"/>
    <n v="40.33"/>
    <n v="0"/>
    <n v="161.32"/>
    <n v="56.08"/>
    <n v="22"/>
    <x v="1"/>
    <s v="Debit Card"/>
  </r>
  <r>
    <n v="100649"/>
    <x v="345"/>
    <s v="AD-8803-B"/>
    <s v="Essentials Tee"/>
    <x v="0"/>
    <x v="4"/>
    <x v="0"/>
    <n v="2"/>
    <n v="44.66"/>
    <n v="22.33"/>
    <n v="0"/>
    <n v="44.66"/>
    <n v="11.29"/>
    <n v="28"/>
    <x v="1"/>
    <s v="NetBanking"/>
  </r>
  <r>
    <n v="100339"/>
    <x v="346"/>
    <s v="AD-4522-C"/>
    <s v="Stan Smith"/>
    <x v="1"/>
    <x v="0"/>
    <x v="0"/>
    <n v="3"/>
    <n v="243.20999999999998"/>
    <n v="81.069999999999993"/>
    <n v="10"/>
    <n v="218.89"/>
    <n v="63.91"/>
    <n v="35"/>
    <x v="0"/>
    <s v="Credit Card"/>
  </r>
  <r>
    <n v="100668"/>
    <x v="347"/>
    <s v="AD-9791-B"/>
    <s v="Z.N.E. Hoodie"/>
    <x v="0"/>
    <x v="4"/>
    <x v="0"/>
    <n v="3"/>
    <n v="341.88"/>
    <n v="113.96"/>
    <n v="0"/>
    <n v="341.88"/>
    <n v="80.36"/>
    <n v="45"/>
    <x v="0"/>
    <s v="Google Pay"/>
  </r>
  <r>
    <n v="100551"/>
    <x v="348"/>
    <s v="AD-6772-C"/>
    <s v="Copa Sense"/>
    <x v="1"/>
    <x v="1"/>
    <x v="1"/>
    <n v="5"/>
    <n v="800.65"/>
    <n v="160.13"/>
    <n v="0"/>
    <n v="800.65"/>
    <n v="202.21"/>
    <n v="43"/>
    <x v="1"/>
    <s v="Google Pay"/>
  </r>
  <r>
    <n v="100458"/>
    <x v="349"/>
    <s v="AD-3971-A"/>
    <s v="Gym Bag"/>
    <x v="2"/>
    <x v="4"/>
    <x v="1"/>
    <n v="3"/>
    <n v="135.18"/>
    <n v="45.06"/>
    <n v="10"/>
    <n v="121.66"/>
    <n v="39.409999999999997"/>
    <n v="25"/>
    <x v="1"/>
    <s v="Debit Card"/>
  </r>
  <r>
    <n v="100183"/>
    <x v="313"/>
    <s v="AD-6150-C"/>
    <s v="Training Shorts"/>
    <x v="0"/>
    <x v="0"/>
    <x v="1"/>
    <n v="2"/>
    <n v="62.36"/>
    <n v="31.18"/>
    <n v="5"/>
    <n v="59.24"/>
    <n v="17.920000000000002"/>
    <n v="23"/>
    <x v="1"/>
    <s v="Apple Pay"/>
  </r>
  <r>
    <n v="100137"/>
    <x v="192"/>
    <s v="AD-1815-A"/>
    <s v="Z.N.E. Hoodie"/>
    <x v="0"/>
    <x v="0"/>
    <x v="0"/>
    <n v="3"/>
    <n v="310.74"/>
    <n v="103.58"/>
    <n v="0"/>
    <n v="310.74"/>
    <n v="62.98"/>
    <n v="30"/>
    <x v="1"/>
    <s v="PayPal"/>
  </r>
  <r>
    <n v="101160"/>
    <x v="37"/>
    <s v="AD-8763-A"/>
    <s v="Essentials Tee"/>
    <x v="0"/>
    <x v="4"/>
    <x v="1"/>
    <n v="3"/>
    <n v="77.489999999999995"/>
    <n v="25.83"/>
    <n v="0"/>
    <n v="77.489999999999995"/>
    <n v="27.12"/>
    <n v="37"/>
    <x v="1"/>
    <s v="Cash"/>
  </r>
  <r>
    <n v="100706"/>
    <x v="350"/>
    <s v="AD-5266-C"/>
    <s v="Predator Freak"/>
    <x v="1"/>
    <x v="4"/>
    <x v="3"/>
    <n v="2"/>
    <n v="407.6"/>
    <n v="203.8"/>
    <n v="20"/>
    <n v="326.08"/>
    <n v="89.79"/>
    <n v="22"/>
    <x v="0"/>
    <s v="Google Pay"/>
  </r>
  <r>
    <n v="100581"/>
    <x v="351"/>
    <s v="AD-4783-B"/>
    <s v="Essentials Tee"/>
    <x v="0"/>
    <x v="4"/>
    <x v="0"/>
    <n v="1"/>
    <n v="24.55"/>
    <n v="24.55"/>
    <n v="20"/>
    <n v="19.64"/>
    <n v="6.73"/>
    <n v="43"/>
    <x v="1"/>
    <s v="NetBanking"/>
  </r>
  <r>
    <n v="100080"/>
    <x v="352"/>
    <s v="AD-4404-B"/>
    <s v="Running Watch Strap"/>
    <x v="2"/>
    <x v="1"/>
    <x v="1"/>
    <n v="5"/>
    <n v="201.85"/>
    <n v="40.369999999999997"/>
    <n v="0"/>
    <n v="201.85"/>
    <n v="88.53"/>
    <n v="35"/>
    <x v="0"/>
    <s v="Debit Card"/>
  </r>
  <r>
    <n v="100768"/>
    <x v="353"/>
    <s v="AD-9034-C"/>
    <s v="Predator Freak"/>
    <x v="1"/>
    <x v="4"/>
    <x v="0"/>
    <n v="3"/>
    <n v="715.71"/>
    <n v="238.57"/>
    <n v="10"/>
    <n v="644.14"/>
    <n v="187.22"/>
    <n v="39"/>
    <x v="1"/>
    <s v="Credit Card"/>
  </r>
  <r>
    <n v="100869"/>
    <x v="354"/>
    <s v="AD-9816-A"/>
    <s v="Ultraboost 22"/>
    <x v="1"/>
    <x v="1"/>
    <x v="2"/>
    <n v="4"/>
    <n v="716.6"/>
    <n v="179.15"/>
    <n v="0"/>
    <n v="716.6"/>
    <n v="314.19"/>
    <n v="25"/>
    <x v="0"/>
    <s v="Apple Pay"/>
  </r>
  <r>
    <n v="100761"/>
    <x v="138"/>
    <s v="AD-5201-B"/>
    <s v="Superstar"/>
    <x v="1"/>
    <x v="2"/>
    <x v="0"/>
    <n v="3"/>
    <n v="321.93"/>
    <n v="107.31"/>
    <n v="0"/>
    <n v="321.93"/>
    <n v="90.73"/>
    <n v="16"/>
    <x v="1"/>
    <s v="PayPal"/>
  </r>
  <r>
    <n v="100029"/>
    <x v="171"/>
    <s v="AD-4910-C"/>
    <s v="Running Watch Strap"/>
    <x v="2"/>
    <x v="1"/>
    <x v="0"/>
    <n v="4"/>
    <n v="163.80000000000001"/>
    <n v="40.950000000000003"/>
    <n v="0"/>
    <n v="163.80000000000001"/>
    <n v="57.41"/>
    <n v="24"/>
    <x v="0"/>
    <s v="Cash"/>
  </r>
  <r>
    <n v="100541"/>
    <x v="355"/>
    <s v="AD-2128-B"/>
    <s v="Training Shorts"/>
    <x v="0"/>
    <x v="1"/>
    <x v="2"/>
    <n v="3"/>
    <n v="86.31"/>
    <n v="28.77"/>
    <n v="5"/>
    <n v="81.99"/>
    <n v="22.73"/>
    <n v="26"/>
    <x v="0"/>
    <s v="PayPal"/>
  </r>
  <r>
    <n v="100165"/>
    <x v="356"/>
    <s v="AD-7142-B"/>
    <s v="Ultraboost 22"/>
    <x v="1"/>
    <x v="1"/>
    <x v="0"/>
    <n v="3"/>
    <n v="485.66999999999996"/>
    <n v="161.88999999999999"/>
    <n v="5"/>
    <n v="461.39"/>
    <n v="126.48"/>
    <n v="31"/>
    <x v="1"/>
    <s v="Debit Card"/>
  </r>
  <r>
    <n v="100248"/>
    <x v="357"/>
    <s v="AD-4974-B"/>
    <s v="Ultraboost 22"/>
    <x v="1"/>
    <x v="4"/>
    <x v="1"/>
    <n v="2"/>
    <n v="400.04"/>
    <n v="200.02"/>
    <n v="20"/>
    <n v="320.02999999999997"/>
    <n v="104.93"/>
    <n v="21"/>
    <x v="0"/>
    <s v="Google Pay"/>
  </r>
  <r>
    <n v="100307"/>
    <x v="68"/>
    <s v="AD-4314-B"/>
    <s v="Performance Socks (3-pack)"/>
    <x v="2"/>
    <x v="2"/>
    <x v="0"/>
    <n v="4"/>
    <n v="67.760000000000005"/>
    <n v="16.940000000000001"/>
    <n v="10"/>
    <n v="60.98"/>
    <n v="24.56"/>
    <n v="34"/>
    <x v="1"/>
    <s v="Apple Pay"/>
  </r>
  <r>
    <n v="100447"/>
    <x v="358"/>
    <s v="AD-1653-C"/>
    <s v="Ultraboost 22"/>
    <x v="1"/>
    <x v="1"/>
    <x v="0"/>
    <n v="2"/>
    <n v="362.24"/>
    <n v="181.12"/>
    <n v="10"/>
    <n v="326.02"/>
    <n v="122.48"/>
    <n v="25"/>
    <x v="0"/>
    <s v="UPI"/>
  </r>
  <r>
    <n v="100346"/>
    <x v="291"/>
    <s v="AD-3248-D"/>
    <s v="Tiro 23 Track Pants"/>
    <x v="0"/>
    <x v="2"/>
    <x v="1"/>
    <n v="4"/>
    <n v="222.96"/>
    <n v="55.74"/>
    <n v="5"/>
    <n v="211.81"/>
    <n v="64.92"/>
    <n v="35"/>
    <x v="1"/>
    <s v="Apple Pay"/>
  </r>
  <r>
    <n v="100334"/>
    <x v="359"/>
    <s v="AD-9515-D"/>
    <s v="Ultraboost Light"/>
    <x v="1"/>
    <x v="4"/>
    <x v="0"/>
    <n v="1"/>
    <n v="150.91"/>
    <n v="150.91"/>
    <n v="0"/>
    <n v="150.91"/>
    <n v="33.19"/>
    <n v="27"/>
    <x v="1"/>
    <s v="UPI"/>
  </r>
  <r>
    <n v="100285"/>
    <x v="110"/>
    <s v="AD-4996-B"/>
    <s v="Ultraboost Light"/>
    <x v="1"/>
    <x v="4"/>
    <x v="2"/>
    <n v="3"/>
    <n v="471.33000000000004"/>
    <n v="157.11000000000001"/>
    <n v="0"/>
    <n v="471.33"/>
    <n v="167.7"/>
    <n v="24"/>
    <x v="0"/>
    <s v="PayPal"/>
  </r>
  <r>
    <n v="100949"/>
    <x v="360"/>
    <s v="AD-5966-C"/>
    <s v="Performance Socks (3-pack)"/>
    <x v="2"/>
    <x v="0"/>
    <x v="0"/>
    <n v="2"/>
    <n v="36"/>
    <n v="18"/>
    <n v="5"/>
    <n v="34.200000000000003"/>
    <n v="10.24"/>
    <n v="16"/>
    <x v="1"/>
    <s v="UPI"/>
  </r>
  <r>
    <n v="100097"/>
    <x v="283"/>
    <s v="AD-7325-B"/>
    <s v="Primegreen Jacket"/>
    <x v="0"/>
    <x v="0"/>
    <x v="0"/>
    <n v="3"/>
    <n v="373.53000000000003"/>
    <n v="124.51"/>
    <n v="20"/>
    <n v="298.82"/>
    <n v="84.17"/>
    <n v="31"/>
    <x v="0"/>
    <s v="Apple Pay"/>
  </r>
  <r>
    <n v="100467"/>
    <x v="361"/>
    <s v="AD-9423-B"/>
    <s v="Gym Bag"/>
    <x v="2"/>
    <x v="1"/>
    <x v="0"/>
    <n v="1"/>
    <n v="44.94"/>
    <n v="44.94"/>
    <n v="10"/>
    <n v="40.450000000000003"/>
    <n v="11.95"/>
    <n v="41"/>
    <x v="1"/>
    <s v="PayPal"/>
  </r>
  <r>
    <n v="101036"/>
    <x v="362"/>
    <s v="AD-6751-D"/>
    <s v="Ultraboost Light"/>
    <x v="1"/>
    <x v="0"/>
    <x v="0"/>
    <n v="5"/>
    <n v="828.94999999999993"/>
    <n v="165.79"/>
    <n v="0"/>
    <n v="828.95"/>
    <n v="257.41000000000003"/>
    <n v="29"/>
    <x v="1"/>
    <s v="NetBanking"/>
  </r>
  <r>
    <n v="100912"/>
    <x v="239"/>
    <s v="AD-8559-C"/>
    <s v="Primegreen Jacket"/>
    <x v="0"/>
    <x v="0"/>
    <x v="0"/>
    <n v="2"/>
    <n v="299.45999999999998"/>
    <n v="149.72999999999999"/>
    <n v="20"/>
    <n v="239.57"/>
    <n v="42.88"/>
    <n v="34"/>
    <x v="1"/>
    <s v="Google Pay"/>
  </r>
  <r>
    <n v="100755"/>
    <x v="263"/>
    <s v="AD-9779-B"/>
    <s v="Z.N.E. Hoodie"/>
    <x v="0"/>
    <x v="4"/>
    <x v="3"/>
    <n v="3"/>
    <n v="421.89"/>
    <n v="140.63"/>
    <n v="20"/>
    <n v="337.51"/>
    <n v="104.97"/>
    <n v="28"/>
    <x v="1"/>
    <s v="Debit Card"/>
  </r>
  <r>
    <n v="100944"/>
    <x v="234"/>
    <s v="AD-6385-B"/>
    <s v="Adilette Slides"/>
    <x v="1"/>
    <x v="4"/>
    <x v="1"/>
    <n v="3"/>
    <n v="112.71000000000001"/>
    <n v="37.57"/>
    <n v="0"/>
    <n v="112.71"/>
    <n v="45.41"/>
    <n v="28"/>
    <x v="2"/>
    <s v="Google Pay"/>
  </r>
  <r>
    <n v="100613"/>
    <x v="363"/>
    <s v="AD-9579-C"/>
    <s v="Ultraboost 22"/>
    <x v="1"/>
    <x v="2"/>
    <x v="0"/>
    <n v="1"/>
    <n v="169.09"/>
    <n v="169.09"/>
    <n v="0"/>
    <n v="169.09"/>
    <n v="60.62"/>
    <n v="31"/>
    <x v="1"/>
    <s v="Google Pay"/>
  </r>
  <r>
    <n v="100801"/>
    <x v="279"/>
    <s v="AD-8083-C"/>
    <s v="Primegreen Jacket"/>
    <x v="0"/>
    <x v="0"/>
    <x v="1"/>
    <n v="4"/>
    <n v="464.84"/>
    <n v="116.21"/>
    <n v="5"/>
    <n v="441.6"/>
    <n v="143.78"/>
    <n v="42"/>
    <x v="1"/>
    <s v="Google Pay"/>
  </r>
  <r>
    <n v="100757"/>
    <x v="4"/>
    <s v="AD-5945-C"/>
    <s v="Superstar"/>
    <x v="1"/>
    <x v="1"/>
    <x v="0"/>
    <n v="3"/>
    <n v="275.54999999999995"/>
    <n v="91.85"/>
    <n v="0"/>
    <n v="275.55"/>
    <n v="101.54"/>
    <n v="16"/>
    <x v="1"/>
    <s v="Debit Card"/>
  </r>
  <r>
    <n v="100688"/>
    <x v="364"/>
    <s v="AD-5060-C"/>
    <s v="Adilette Slides"/>
    <x v="1"/>
    <x v="2"/>
    <x v="0"/>
    <n v="3"/>
    <n v="96.78"/>
    <n v="32.26"/>
    <n v="0"/>
    <n v="96.78"/>
    <n v="35.840000000000003"/>
    <n v="37"/>
    <x v="0"/>
    <s v="UPI"/>
  </r>
  <r>
    <n v="100065"/>
    <x v="365"/>
    <s v="AD-1672-C"/>
    <s v="Adicolor Hoodie"/>
    <x v="0"/>
    <x v="0"/>
    <x v="2"/>
    <n v="5"/>
    <n v="336.65"/>
    <n v="67.33"/>
    <n v="10"/>
    <n v="302.99"/>
    <n v="90.49"/>
    <n v="41"/>
    <x v="0"/>
    <s v="Debit Card"/>
  </r>
  <r>
    <n v="100793"/>
    <x v="366"/>
    <s v="AD-1668-D"/>
    <s v="Copa Sense"/>
    <x v="1"/>
    <x v="4"/>
    <x v="1"/>
    <n v="2"/>
    <n v="332.92"/>
    <n v="166.46"/>
    <n v="10"/>
    <n v="299.63"/>
    <n v="111.39"/>
    <n v="27"/>
    <x v="1"/>
    <s v="Google Pay"/>
  </r>
  <r>
    <n v="100743"/>
    <x v="195"/>
    <s v="AD-4781-B"/>
    <s v="Gym Bag"/>
    <x v="2"/>
    <x v="0"/>
    <x v="0"/>
    <n v="4"/>
    <n v="201.72"/>
    <n v="50.43"/>
    <n v="40"/>
    <n v="121.03"/>
    <n v="27.97"/>
    <n v="30"/>
    <x v="1"/>
    <s v="Google Pay"/>
  </r>
  <r>
    <n v="100567"/>
    <x v="299"/>
    <s v="AD-1225-C"/>
    <s v="Ultraboost Light"/>
    <x v="1"/>
    <x v="0"/>
    <x v="0"/>
    <n v="3"/>
    <n v="451.91999999999996"/>
    <n v="150.63999999999999"/>
    <n v="20"/>
    <n v="361.54"/>
    <n v="91.06"/>
    <n v="28"/>
    <x v="0"/>
    <s v="NetBanking"/>
  </r>
  <r>
    <n v="101083"/>
    <x v="367"/>
    <s v="AD-2527-C"/>
    <s v="Running Watch Strap"/>
    <x v="2"/>
    <x v="0"/>
    <x v="1"/>
    <n v="4"/>
    <n v="155.44"/>
    <n v="38.86"/>
    <n v="0"/>
    <n v="155.44"/>
    <n v="56.27"/>
    <n v="46"/>
    <x v="1"/>
    <s v="Cash"/>
  </r>
  <r>
    <n v="101098"/>
    <x v="368"/>
    <s v="AD-7230-A"/>
    <s v="Ultraboost Light"/>
    <x v="1"/>
    <x v="3"/>
    <x v="0"/>
    <n v="3"/>
    <n v="439.16999999999996"/>
    <n v="146.38999999999999"/>
    <n v="0"/>
    <n v="439.17"/>
    <n v="117.89"/>
    <n v="18"/>
    <x v="1"/>
    <s v="Credit Card"/>
  </r>
  <r>
    <n v="100302"/>
    <x v="369"/>
    <s v="AD-7786-D"/>
    <s v="Z.N.E. Hoodie"/>
    <x v="0"/>
    <x v="0"/>
    <x v="1"/>
    <n v="2"/>
    <n v="238.42"/>
    <n v="119.21"/>
    <n v="0"/>
    <n v="238.42"/>
    <n v="54.9"/>
    <n v="26"/>
    <x v="1"/>
    <s v="NetBanking"/>
  </r>
  <r>
    <n v="100254"/>
    <x v="16"/>
    <s v="AD-7756-B"/>
    <s v="Ultraboost Light"/>
    <x v="1"/>
    <x v="4"/>
    <x v="2"/>
    <n v="5"/>
    <n v="726.7"/>
    <n v="145.34"/>
    <n v="0"/>
    <n v="726.7"/>
    <n v="224.2"/>
    <n v="33"/>
    <x v="1"/>
    <s v="Credit Card"/>
  </r>
  <r>
    <n v="100958"/>
    <x v="370"/>
    <s v="AD-8462-B"/>
    <s v="Training Shorts"/>
    <x v="0"/>
    <x v="0"/>
    <x v="1"/>
    <n v="4"/>
    <n v="118.72"/>
    <n v="29.68"/>
    <n v="0"/>
    <n v="118.72"/>
    <n v="36.94"/>
    <n v="18"/>
    <x v="0"/>
    <s v="NetBanking"/>
  </r>
  <r>
    <n v="101023"/>
    <x v="329"/>
    <s v="AD-6382-C"/>
    <s v="Performance Socks (3-pack)"/>
    <x v="2"/>
    <x v="2"/>
    <x v="0"/>
    <n v="4"/>
    <n v="70.84"/>
    <n v="17.71"/>
    <n v="0"/>
    <n v="70.84"/>
    <n v="13.62"/>
    <n v="29"/>
    <x v="1"/>
    <s v="Google Pay"/>
  </r>
  <r>
    <n v="100312"/>
    <x v="269"/>
    <s v="AD-3340-A"/>
    <s v="Z.N.E. Hoodie"/>
    <x v="0"/>
    <x v="4"/>
    <x v="0"/>
    <n v="6"/>
    <n v="721.38"/>
    <n v="120.23"/>
    <n v="5"/>
    <n v="685.31"/>
    <n v="249.96"/>
    <n v="28"/>
    <x v="0"/>
    <s v="PayPal"/>
  </r>
  <r>
    <n v="100529"/>
    <x v="371"/>
    <s v="AD-5622-C"/>
    <s v="Z.N.E. Hoodie"/>
    <x v="0"/>
    <x v="4"/>
    <x v="1"/>
    <n v="2"/>
    <n v="202.28"/>
    <n v="101.14"/>
    <n v="10"/>
    <n v="182.05"/>
    <n v="53.84"/>
    <n v="19"/>
    <x v="1"/>
    <s v="Debit Card"/>
  </r>
  <r>
    <n v="100221"/>
    <x v="199"/>
    <s v="AD-5662-D"/>
    <s v="Tiro 23 Track Pants"/>
    <x v="0"/>
    <x v="4"/>
    <x v="1"/>
    <n v="7"/>
    <n v="328.78999999999996"/>
    <n v="46.97"/>
    <n v="0"/>
    <n v="328.79"/>
    <n v="107.03"/>
    <n v="32"/>
    <x v="1"/>
    <s v="Cash"/>
  </r>
  <r>
    <n v="100388"/>
    <x v="291"/>
    <s v="AD-5511-D"/>
    <s v="Copa Sense"/>
    <x v="1"/>
    <x v="4"/>
    <x v="0"/>
    <n v="2"/>
    <n v="360.16"/>
    <n v="180.08"/>
    <n v="0"/>
    <n v="360.16"/>
    <n v="84.13"/>
    <n v="34"/>
    <x v="0"/>
    <s v="NetBanking"/>
  </r>
  <r>
    <n v="100235"/>
    <x v="372"/>
    <s v="AD-6697-A"/>
    <s v="Primegreen Jacket"/>
    <x v="0"/>
    <x v="2"/>
    <x v="0"/>
    <n v="4"/>
    <n v="474.28"/>
    <n v="118.57"/>
    <n v="5"/>
    <n v="450.57"/>
    <n v="134.34"/>
    <n v="25"/>
    <x v="1"/>
    <s v="PayPal"/>
  </r>
  <r>
    <n v="100809"/>
    <x v="70"/>
    <s v="AD-4458-B"/>
    <s v="Performance Socks (3-pack)"/>
    <x v="2"/>
    <x v="4"/>
    <x v="3"/>
    <n v="1"/>
    <n v="17.52"/>
    <n v="17.52"/>
    <n v="0"/>
    <n v="17.52"/>
    <n v="3.67"/>
    <n v="22"/>
    <x v="0"/>
    <s v="PayPal"/>
  </r>
  <r>
    <n v="100482"/>
    <x v="373"/>
    <s v="AD-6742-A"/>
    <s v="Ultraboost Light"/>
    <x v="1"/>
    <x v="1"/>
    <x v="3"/>
    <n v="3"/>
    <n v="544.34999999999991"/>
    <n v="181.45"/>
    <n v="0"/>
    <n v="544.35"/>
    <n v="133.04"/>
    <n v="39"/>
    <x v="1"/>
    <s v="Apple Pay"/>
  </r>
  <r>
    <n v="100712"/>
    <x v="374"/>
    <s v="AD-4185-D"/>
    <s v="Superstar"/>
    <x v="1"/>
    <x v="1"/>
    <x v="1"/>
    <n v="1"/>
    <n v="96.24"/>
    <n v="96.24"/>
    <n v="0"/>
    <n v="96.24"/>
    <n v="23.12"/>
    <n v="19"/>
    <x v="1"/>
    <s v="Apple Pay"/>
  </r>
  <r>
    <n v="100305"/>
    <x v="375"/>
    <s v="AD-5646-C"/>
    <s v="Sports Bottle"/>
    <x v="2"/>
    <x v="3"/>
    <x v="2"/>
    <n v="3"/>
    <n v="41.58"/>
    <n v="13.86"/>
    <n v="5"/>
    <n v="39.5"/>
    <n v="12.04"/>
    <n v="34"/>
    <x v="1"/>
    <s v="Cash"/>
  </r>
  <r>
    <n v="101110"/>
    <x v="50"/>
    <s v="AD-8276-A"/>
    <s v="Stan Smith"/>
    <x v="1"/>
    <x v="4"/>
    <x v="3"/>
    <n v="1"/>
    <n v="93.52"/>
    <n v="93.52"/>
    <n v="10"/>
    <n v="84.17"/>
    <n v="25.93"/>
    <n v="31"/>
    <x v="1"/>
    <s v="Debit Card"/>
  </r>
  <r>
    <n v="101089"/>
    <x v="172"/>
    <s v="AD-3336-C"/>
    <s v="NMD_R1"/>
    <x v="1"/>
    <x v="4"/>
    <x v="1"/>
    <n v="1"/>
    <n v="132.69999999999999"/>
    <n v="132.69999999999999"/>
    <n v="10"/>
    <n v="119.43"/>
    <n v="21.29"/>
    <n v="35"/>
    <x v="1"/>
    <s v="Credit Card"/>
  </r>
  <r>
    <n v="100771"/>
    <x v="87"/>
    <s v="AD-9763-B"/>
    <s v="Primegreen Jacket"/>
    <x v="0"/>
    <x v="3"/>
    <x v="0"/>
    <n v="1"/>
    <n v="121.17"/>
    <n v="121.17"/>
    <n v="5"/>
    <n v="115.11"/>
    <n v="38.85"/>
    <n v="31"/>
    <x v="0"/>
    <s v="Debit Card"/>
  </r>
  <r>
    <n v="100916"/>
    <x v="376"/>
    <s v="AD-7247-B"/>
    <s v="Ultraboost Light"/>
    <x v="1"/>
    <x v="4"/>
    <x v="3"/>
    <n v="1"/>
    <n v="152.72999999999999"/>
    <n v="152.72999999999999"/>
    <n v="0"/>
    <n v="152.72999999999999"/>
    <n v="50.68"/>
    <n v="21"/>
    <x v="1"/>
    <s v="Apple Pay"/>
  </r>
  <r>
    <n v="101138"/>
    <x v="377"/>
    <s v="AD-1606-A"/>
    <s v="Running Watch Strap"/>
    <x v="2"/>
    <x v="2"/>
    <x v="0"/>
    <n v="1"/>
    <n v="35.72"/>
    <n v="35.72"/>
    <n v="0"/>
    <n v="35.72"/>
    <n v="15.13"/>
    <n v="30"/>
    <x v="0"/>
    <s v="Apple Pay"/>
  </r>
  <r>
    <n v="100249"/>
    <x v="378"/>
    <s v="AD-6053-C"/>
    <s v="Adicolor Hoodie"/>
    <x v="0"/>
    <x v="0"/>
    <x v="0"/>
    <n v="2"/>
    <n v="136.58000000000001"/>
    <n v="68.290000000000006"/>
    <n v="0"/>
    <n v="136.58000000000001"/>
    <n v="38.71"/>
    <n v="34"/>
    <x v="1"/>
    <s v="Cash"/>
  </r>
  <r>
    <n v="100759"/>
    <x v="43"/>
    <s v="AD-1981-B"/>
    <s v="Training Cap"/>
    <x v="2"/>
    <x v="3"/>
    <x v="1"/>
    <n v="5"/>
    <n v="113.94999999999999"/>
    <n v="22.79"/>
    <n v="20"/>
    <n v="91.16"/>
    <n v="27.55"/>
    <n v="23"/>
    <x v="1"/>
    <s v="Apple Pay"/>
  </r>
  <r>
    <n v="100594"/>
    <x v="379"/>
    <s v="AD-9084-B"/>
    <s v="NMD_R1"/>
    <x v="1"/>
    <x v="4"/>
    <x v="1"/>
    <n v="2"/>
    <n v="239.16"/>
    <n v="119.58"/>
    <n v="0"/>
    <n v="239.16"/>
    <n v="62.75"/>
    <n v="37"/>
    <x v="1"/>
    <s v="Credit Card"/>
  </r>
  <r>
    <n v="100071"/>
    <x v="367"/>
    <s v="AD-8342-A"/>
    <s v="Adicolor Hoodie"/>
    <x v="0"/>
    <x v="1"/>
    <x v="1"/>
    <n v="2"/>
    <n v="160.34"/>
    <n v="80.17"/>
    <n v="0"/>
    <n v="160.34"/>
    <n v="43.83"/>
    <n v="37"/>
    <x v="0"/>
    <s v="Google Pay"/>
  </r>
  <r>
    <n v="100094"/>
    <x v="72"/>
    <s v="AD-2143-C"/>
    <s v="Training Cap"/>
    <x v="2"/>
    <x v="4"/>
    <x v="1"/>
    <n v="2"/>
    <n v="40.26"/>
    <n v="20.13"/>
    <n v="0"/>
    <n v="40.26"/>
    <n v="11.44"/>
    <n v="31"/>
    <x v="1"/>
    <s v="PayPal"/>
  </r>
  <r>
    <n v="100545"/>
    <x v="380"/>
    <s v="AD-7366-D"/>
    <s v="Predator Freak"/>
    <x v="1"/>
    <x v="4"/>
    <x v="0"/>
    <n v="2"/>
    <n v="444.86"/>
    <n v="222.43"/>
    <n v="20"/>
    <n v="355.89"/>
    <n v="115.76"/>
    <n v="31"/>
    <x v="1"/>
    <s v="Credit Card"/>
  </r>
  <r>
    <n v="100033"/>
    <x v="381"/>
    <s v="AD-4450-C"/>
    <s v="Predator Freak"/>
    <x v="1"/>
    <x v="2"/>
    <x v="1"/>
    <n v="2"/>
    <n v="409.82"/>
    <n v="204.91"/>
    <n v="40"/>
    <n v="245.89"/>
    <n v="60.6"/>
    <n v="33"/>
    <x v="1"/>
    <s v="NetBanking"/>
  </r>
  <r>
    <n v="100861"/>
    <x v="184"/>
    <s v="AD-5409-A"/>
    <s v="Performance Socks (3-pack)"/>
    <x v="2"/>
    <x v="4"/>
    <x v="0"/>
    <n v="1"/>
    <n v="16.010000000000002"/>
    <n v="16.010000000000002"/>
    <n v="0"/>
    <n v="16.010000000000002"/>
    <n v="5.89"/>
    <n v="16"/>
    <x v="0"/>
    <s v="Credit Card"/>
  </r>
  <r>
    <n v="100578"/>
    <x v="382"/>
    <s v="AD-8046-B"/>
    <s v="Sports Bottle"/>
    <x v="2"/>
    <x v="4"/>
    <x v="0"/>
    <n v="2"/>
    <n v="33.96"/>
    <n v="16.98"/>
    <n v="0"/>
    <n v="33.96"/>
    <n v="13.75"/>
    <n v="19"/>
    <x v="0"/>
    <s v="PayPal"/>
  </r>
  <r>
    <n v="100448"/>
    <x v="383"/>
    <s v="AD-9426-D"/>
    <s v="Stan Smith"/>
    <x v="1"/>
    <x v="1"/>
    <x v="0"/>
    <n v="3"/>
    <n v="241.89"/>
    <n v="80.63"/>
    <n v="5"/>
    <n v="229.8"/>
    <n v="88.49"/>
    <n v="29"/>
    <x v="0"/>
    <s v="Cash"/>
  </r>
  <r>
    <n v="100445"/>
    <x v="384"/>
    <s v="AD-7814-D"/>
    <s v="Z.N.E. Hoodie"/>
    <x v="0"/>
    <x v="3"/>
    <x v="1"/>
    <n v="4"/>
    <n v="474.12"/>
    <n v="118.53"/>
    <n v="0"/>
    <n v="474.12"/>
    <n v="176"/>
    <n v="26"/>
    <x v="0"/>
    <s v="PayPal"/>
  </r>
  <r>
    <n v="100259"/>
    <x v="385"/>
    <s v="AD-3807-A"/>
    <s v="Ultraboost Light"/>
    <x v="1"/>
    <x v="1"/>
    <x v="1"/>
    <n v="4"/>
    <n v="598.52"/>
    <n v="149.63"/>
    <n v="10"/>
    <n v="538.66999999999996"/>
    <n v="129.47"/>
    <n v="29"/>
    <x v="1"/>
    <s v="Credit Card"/>
  </r>
  <r>
    <n v="100204"/>
    <x v="386"/>
    <s v="AD-9341-D"/>
    <s v="Training Shorts"/>
    <x v="0"/>
    <x v="1"/>
    <x v="3"/>
    <n v="3"/>
    <n v="88.14"/>
    <n v="29.38"/>
    <n v="0"/>
    <n v="88.14"/>
    <n v="31.2"/>
    <n v="27"/>
    <x v="0"/>
    <s v="UPI"/>
  </r>
  <r>
    <n v="100572"/>
    <x v="387"/>
    <s v="AD-4054-B"/>
    <s v="Primegreen Jacket"/>
    <x v="0"/>
    <x v="0"/>
    <x v="2"/>
    <n v="4"/>
    <n v="492.16"/>
    <n v="123.04"/>
    <n v="0"/>
    <n v="492.16"/>
    <n v="147.30000000000001"/>
    <n v="31"/>
    <x v="1"/>
    <s v="Debit Card"/>
  </r>
  <r>
    <n v="100823"/>
    <x v="357"/>
    <s v="AD-3598-B"/>
    <s v="Adicolor Hoodie"/>
    <x v="0"/>
    <x v="4"/>
    <x v="0"/>
    <n v="4"/>
    <n v="301.2"/>
    <n v="75.3"/>
    <n v="20"/>
    <n v="240.96"/>
    <n v="72.11"/>
    <n v="28"/>
    <x v="0"/>
    <s v="Cash"/>
  </r>
  <r>
    <n v="100585"/>
    <x v="388"/>
    <s v="AD-7457-A"/>
    <s v="Adicolor Hoodie"/>
    <x v="0"/>
    <x v="0"/>
    <x v="1"/>
    <n v="1"/>
    <n v="75.63"/>
    <n v="75.63"/>
    <n v="5"/>
    <n v="71.849999999999994"/>
    <n v="12.65"/>
    <n v="41"/>
    <x v="0"/>
    <s v="Cash"/>
  </r>
  <r>
    <n v="100365"/>
    <x v="389"/>
    <s v="AD-5612-C"/>
    <s v="Stan Smith"/>
    <x v="1"/>
    <x v="3"/>
    <x v="0"/>
    <n v="5"/>
    <n v="373.9"/>
    <n v="74.78"/>
    <n v="5"/>
    <n v="355.2"/>
    <n v="100.14"/>
    <n v="32"/>
    <x v="0"/>
    <s v="NetBanking"/>
  </r>
  <r>
    <n v="100811"/>
    <x v="216"/>
    <s v="AD-5961-C"/>
    <s v="Training Cap"/>
    <x v="2"/>
    <x v="1"/>
    <x v="1"/>
    <n v="4"/>
    <n v="85.16"/>
    <n v="21.29"/>
    <n v="5"/>
    <n v="80.900000000000006"/>
    <n v="30.97"/>
    <n v="31"/>
    <x v="0"/>
    <s v="Google Pay"/>
  </r>
  <r>
    <n v="100077"/>
    <x v="390"/>
    <s v="AD-2869-A"/>
    <s v="Tiro 23 Track Pants"/>
    <x v="0"/>
    <x v="1"/>
    <x v="0"/>
    <n v="1"/>
    <n v="52.36"/>
    <n v="52.36"/>
    <n v="5"/>
    <n v="49.74"/>
    <n v="14.7"/>
    <n v="32"/>
    <x v="1"/>
    <s v="Google Pay"/>
  </r>
  <r>
    <n v="100084"/>
    <x v="348"/>
    <s v="AD-5982-D"/>
    <s v="Tiro 23 Track Pants"/>
    <x v="0"/>
    <x v="0"/>
    <x v="3"/>
    <n v="3"/>
    <n v="170.07"/>
    <n v="56.69"/>
    <n v="0"/>
    <n v="170.07"/>
    <n v="47.29"/>
    <n v="29"/>
    <x v="1"/>
    <s v="Google Pay"/>
  </r>
  <r>
    <n v="100538"/>
    <x v="282"/>
    <s v="AD-8992-B"/>
    <s v="Ultraboost Light"/>
    <x v="1"/>
    <x v="0"/>
    <x v="1"/>
    <n v="4"/>
    <n v="614.04"/>
    <n v="153.51"/>
    <n v="10"/>
    <n v="552.64"/>
    <n v="160.62"/>
    <n v="16"/>
    <x v="0"/>
    <s v="PayPal"/>
  </r>
  <r>
    <n v="100082"/>
    <x v="391"/>
    <s v="AD-5334-B"/>
    <s v="Adicolor Hoodie"/>
    <x v="0"/>
    <x v="4"/>
    <x v="2"/>
    <n v="4"/>
    <n v="299.83999999999997"/>
    <n v="74.959999999999994"/>
    <n v="5"/>
    <n v="284.85000000000002"/>
    <n v="77.42"/>
    <n v="37"/>
    <x v="1"/>
    <s v="UPI"/>
  </r>
  <r>
    <n v="100457"/>
    <x v="240"/>
    <s v="AD-4469-D"/>
    <s v="Sports Bottle"/>
    <x v="2"/>
    <x v="1"/>
    <x v="1"/>
    <n v="4"/>
    <n v="59.32"/>
    <n v="14.83"/>
    <n v="0"/>
    <n v="59.32"/>
    <n v="26.54"/>
    <n v="26"/>
    <x v="0"/>
    <s v="Cash"/>
  </r>
  <r>
    <n v="101137"/>
    <x v="392"/>
    <s v="AD-5670-A"/>
    <s v="Stan Smith"/>
    <x v="1"/>
    <x v="4"/>
    <x v="0"/>
    <n v="5"/>
    <n v="443.15"/>
    <n v="88.63"/>
    <n v="10"/>
    <n v="398.83"/>
    <n v="94.16"/>
    <n v="22"/>
    <x v="1"/>
    <s v="Credit Card"/>
  </r>
  <r>
    <n v="100614"/>
    <x v="132"/>
    <s v="AD-4361-A"/>
    <s v="Z.N.E. Hoodie"/>
    <x v="0"/>
    <x v="2"/>
    <x v="2"/>
    <n v="2"/>
    <n v="241.52"/>
    <n v="120.76"/>
    <n v="10"/>
    <n v="217.37"/>
    <n v="68.09"/>
    <n v="16"/>
    <x v="0"/>
    <s v="PayPal"/>
  </r>
  <r>
    <n v="101185"/>
    <x v="393"/>
    <s v="AD-4027-B"/>
    <s v="NMD_R1"/>
    <x v="1"/>
    <x v="2"/>
    <x v="1"/>
    <n v="3"/>
    <n v="427.83000000000004"/>
    <n v="142.61000000000001"/>
    <n v="0"/>
    <n v="427.83"/>
    <n v="125.1"/>
    <n v="42"/>
    <x v="1"/>
    <s v="Credit Card"/>
  </r>
  <r>
    <n v="101075"/>
    <x v="394"/>
    <s v="AD-8274-A"/>
    <s v="Predator Freak"/>
    <x v="1"/>
    <x v="0"/>
    <x v="0"/>
    <n v="2"/>
    <n v="489.7"/>
    <n v="244.85"/>
    <n v="0"/>
    <n v="489.7"/>
    <n v="155.19"/>
    <n v="22"/>
    <x v="1"/>
    <s v="Cash"/>
  </r>
  <r>
    <n v="100736"/>
    <x v="164"/>
    <s v="AD-9123-C"/>
    <s v="Adicolor Hoodie"/>
    <x v="0"/>
    <x v="0"/>
    <x v="0"/>
    <n v="4"/>
    <n v="288.48"/>
    <n v="72.12"/>
    <n v="5"/>
    <n v="274.06"/>
    <n v="96.97"/>
    <n v="34"/>
    <x v="1"/>
    <s v="PayPal"/>
  </r>
  <r>
    <n v="100436"/>
    <x v="315"/>
    <s v="AD-9747-C"/>
    <s v="Stan Smith"/>
    <x v="1"/>
    <x v="0"/>
    <x v="1"/>
    <n v="3"/>
    <n v="268.59000000000003"/>
    <n v="89.53"/>
    <n v="0"/>
    <n v="268.58999999999997"/>
    <n v="86.24"/>
    <n v="19"/>
    <x v="0"/>
    <s v="Apple Pay"/>
  </r>
  <r>
    <n v="100554"/>
    <x v="395"/>
    <s v="AD-4519-C"/>
    <s v="NMD_R1"/>
    <x v="1"/>
    <x v="4"/>
    <x v="2"/>
    <n v="3"/>
    <n v="333.21"/>
    <n v="111.07"/>
    <n v="10"/>
    <n v="299.89"/>
    <n v="94.02"/>
    <n v="20"/>
    <x v="1"/>
    <s v="UPI"/>
  </r>
  <r>
    <n v="101079"/>
    <x v="175"/>
    <s v="AD-8821-C"/>
    <s v="Primegreen Jacket"/>
    <x v="0"/>
    <x v="0"/>
    <x v="1"/>
    <n v="2"/>
    <n v="268.52"/>
    <n v="134.26"/>
    <n v="20"/>
    <n v="214.82"/>
    <n v="72.61"/>
    <n v="24"/>
    <x v="0"/>
    <s v="Google Pay"/>
  </r>
  <r>
    <n v="101061"/>
    <x v="254"/>
    <s v="AD-2841-D"/>
    <s v="Primegreen Jacket"/>
    <x v="0"/>
    <x v="0"/>
    <x v="0"/>
    <n v="4"/>
    <n v="453"/>
    <n v="113.25"/>
    <n v="10"/>
    <n v="407.7"/>
    <n v="125.19"/>
    <n v="26"/>
    <x v="0"/>
    <s v="Apple Pay"/>
  </r>
  <r>
    <n v="100350"/>
    <x v="396"/>
    <s v="AD-7363-C"/>
    <s v="Adicolor Hoodie"/>
    <x v="0"/>
    <x v="0"/>
    <x v="2"/>
    <n v="6"/>
    <n v="453.59999999999997"/>
    <n v="75.599999999999994"/>
    <n v="40"/>
    <n v="272.16000000000003"/>
    <n v="65.25"/>
    <n v="36"/>
    <x v="1"/>
    <s v="UPI"/>
  </r>
  <r>
    <n v="100196"/>
    <x v="384"/>
    <s v="AD-6121-C"/>
    <s v="Ultraboost Light"/>
    <x v="1"/>
    <x v="1"/>
    <x v="1"/>
    <n v="3"/>
    <n v="483.57"/>
    <n v="161.19"/>
    <n v="20"/>
    <n v="386.86"/>
    <n v="132.94999999999999"/>
    <n v="31"/>
    <x v="1"/>
    <s v="PayPal"/>
  </r>
  <r>
    <n v="100464"/>
    <x v="397"/>
    <s v="AD-2235-A"/>
    <s v="Essentials Tee"/>
    <x v="0"/>
    <x v="4"/>
    <x v="1"/>
    <n v="3"/>
    <n v="81.63"/>
    <n v="27.21"/>
    <n v="0"/>
    <n v="81.63"/>
    <n v="26"/>
    <n v="25"/>
    <x v="1"/>
    <s v="Debit Card"/>
  </r>
  <r>
    <n v="100588"/>
    <x v="398"/>
    <s v="AD-2481-A"/>
    <s v="Tiro 23 Track Pants"/>
    <x v="0"/>
    <x v="4"/>
    <x v="1"/>
    <n v="4"/>
    <n v="209.6"/>
    <n v="52.4"/>
    <n v="0"/>
    <n v="209.6"/>
    <n v="66.930000000000007"/>
    <n v="16"/>
    <x v="1"/>
    <s v="Google Pay"/>
  </r>
  <r>
    <n v="100005"/>
    <x v="399"/>
    <s v="AD-5554-D"/>
    <s v="Adicolor Hoodie"/>
    <x v="0"/>
    <x v="3"/>
    <x v="2"/>
    <n v="1"/>
    <n v="72.099999999999994"/>
    <n v="72.099999999999994"/>
    <n v="0"/>
    <n v="72.099999999999994"/>
    <n v="17.59"/>
    <n v="37"/>
    <x v="0"/>
    <s v="Apple Pay"/>
  </r>
  <r>
    <n v="100310"/>
    <x v="400"/>
    <s v="AD-1132-C"/>
    <s v="Adilette Slides"/>
    <x v="1"/>
    <x v="4"/>
    <x v="0"/>
    <n v="5"/>
    <n v="181.8"/>
    <n v="36.36"/>
    <n v="5"/>
    <n v="172.71"/>
    <n v="44.5"/>
    <n v="25"/>
    <x v="0"/>
    <s v="Credit Card"/>
  </r>
  <r>
    <n v="100661"/>
    <x v="401"/>
    <s v="AD-9444-D"/>
    <s v="Ultraboost Light"/>
    <x v="1"/>
    <x v="4"/>
    <x v="1"/>
    <n v="3"/>
    <n v="427.53"/>
    <n v="142.51"/>
    <n v="0"/>
    <n v="427.53"/>
    <n v="157.68"/>
    <n v="32"/>
    <x v="0"/>
    <s v="Credit Card"/>
  </r>
  <r>
    <n v="100404"/>
    <x v="402"/>
    <s v="AD-8105-B"/>
    <s v="Ultraboost Light"/>
    <x v="1"/>
    <x v="4"/>
    <x v="1"/>
    <n v="2"/>
    <n v="294.64"/>
    <n v="147.32"/>
    <n v="5"/>
    <n v="279.91000000000003"/>
    <n v="104.82"/>
    <n v="29"/>
    <x v="0"/>
    <s v="Cash"/>
  </r>
  <r>
    <n v="101195"/>
    <x v="403"/>
    <s v="AD-6261-A"/>
    <s v="Superstar"/>
    <x v="1"/>
    <x v="1"/>
    <x v="1"/>
    <n v="2"/>
    <n v="155.02000000000001"/>
    <n v="77.510000000000005"/>
    <n v="5"/>
    <n v="147.27000000000001"/>
    <n v="42.27"/>
    <n v="28"/>
    <x v="1"/>
    <s v="PayPal"/>
  </r>
  <r>
    <n v="101043"/>
    <x v="404"/>
    <s v="AD-3735-C"/>
    <s v="Stan Smith"/>
    <x v="1"/>
    <x v="4"/>
    <x v="0"/>
    <n v="2"/>
    <n v="169.88"/>
    <n v="84.94"/>
    <n v="0"/>
    <n v="169.88"/>
    <n v="67.75"/>
    <n v="21"/>
    <x v="0"/>
    <s v="Credit Card"/>
  </r>
  <r>
    <n v="101057"/>
    <x v="405"/>
    <s v="AD-2742-C"/>
    <s v="Superstar"/>
    <x v="1"/>
    <x v="3"/>
    <x v="1"/>
    <n v="3"/>
    <n v="257.13"/>
    <n v="85.71"/>
    <n v="40"/>
    <n v="154.28"/>
    <n v="45.27"/>
    <n v="39"/>
    <x v="0"/>
    <s v="Credit Card"/>
  </r>
  <r>
    <n v="100104"/>
    <x v="406"/>
    <s v="AD-5161-D"/>
    <s v="Primegreen Jacket"/>
    <x v="0"/>
    <x v="4"/>
    <x v="2"/>
    <n v="1"/>
    <n v="138.34"/>
    <n v="138.34"/>
    <n v="0"/>
    <n v="138.34"/>
    <n v="35.35"/>
    <n v="38"/>
    <x v="1"/>
    <s v="Google Pay"/>
  </r>
  <r>
    <n v="100536"/>
    <x v="89"/>
    <s v="AD-1146-A"/>
    <s v="Originals Backpack"/>
    <x v="2"/>
    <x v="4"/>
    <x v="0"/>
    <n v="2"/>
    <n v="133"/>
    <n v="66.5"/>
    <n v="5"/>
    <n v="126.35"/>
    <n v="47.79"/>
    <n v="24"/>
    <x v="1"/>
    <s v="UPI"/>
  </r>
  <r>
    <n v="100605"/>
    <x v="407"/>
    <s v="AD-5919-C"/>
    <s v="Adilette Slides"/>
    <x v="1"/>
    <x v="4"/>
    <x v="0"/>
    <n v="1"/>
    <n v="34.1"/>
    <n v="34.1"/>
    <n v="10"/>
    <n v="30.69"/>
    <n v="7.56"/>
    <n v="45"/>
    <x v="0"/>
    <s v="NetBanking"/>
  </r>
  <r>
    <n v="100062"/>
    <x v="78"/>
    <s v="AD-8758-A"/>
    <s v="Ultraboost 22"/>
    <x v="1"/>
    <x v="4"/>
    <x v="0"/>
    <n v="3"/>
    <n v="449.70000000000005"/>
    <n v="149.9"/>
    <n v="0"/>
    <n v="449.7"/>
    <n v="174.72"/>
    <n v="33"/>
    <x v="1"/>
    <s v="PayPal"/>
  </r>
  <r>
    <n v="100281"/>
    <x v="408"/>
    <s v="AD-8303-C"/>
    <s v="Ultraboost 22"/>
    <x v="1"/>
    <x v="4"/>
    <x v="1"/>
    <n v="4"/>
    <n v="698.52"/>
    <n v="174.63"/>
    <n v="10"/>
    <n v="628.66999999999996"/>
    <n v="195.66"/>
    <n v="37"/>
    <x v="0"/>
    <s v="UPI"/>
  </r>
  <r>
    <n v="101055"/>
    <x v="409"/>
    <s v="AD-9630-B"/>
    <s v="Predator Freak"/>
    <x v="1"/>
    <x v="4"/>
    <x v="2"/>
    <n v="1"/>
    <n v="230.24"/>
    <n v="230.24"/>
    <n v="10"/>
    <n v="207.22"/>
    <n v="70.31"/>
    <n v="25"/>
    <x v="0"/>
    <s v="Debit Card"/>
  </r>
  <r>
    <n v="100238"/>
    <x v="199"/>
    <s v="AD-4943-B"/>
    <s v="Stan Smith"/>
    <x v="1"/>
    <x v="0"/>
    <x v="1"/>
    <n v="4"/>
    <n v="346.36"/>
    <n v="86.59"/>
    <n v="10"/>
    <n v="311.72000000000003"/>
    <n v="69.27"/>
    <n v="39"/>
    <x v="0"/>
    <s v="Credit Card"/>
  </r>
  <r>
    <n v="100223"/>
    <x v="410"/>
    <s v="AD-5833-B"/>
    <s v="Copa Sense"/>
    <x v="1"/>
    <x v="0"/>
    <x v="1"/>
    <n v="1"/>
    <n v="167.08"/>
    <n v="167.08"/>
    <n v="0"/>
    <n v="167.08"/>
    <n v="35.979999999999997"/>
    <n v="29"/>
    <x v="1"/>
    <s v="Cash"/>
  </r>
  <r>
    <n v="100145"/>
    <x v="411"/>
    <s v="AD-6752-B"/>
    <s v="Copa Sense"/>
    <x v="1"/>
    <x v="0"/>
    <x v="1"/>
    <n v="4"/>
    <n v="622.84"/>
    <n v="155.71"/>
    <n v="10"/>
    <n v="560.55999999999995"/>
    <n v="182.17"/>
    <n v="34"/>
    <x v="1"/>
    <s v="Cash"/>
  </r>
  <r>
    <n v="101118"/>
    <x v="412"/>
    <s v="AD-9907-A"/>
    <s v="Superstar"/>
    <x v="1"/>
    <x v="1"/>
    <x v="1"/>
    <n v="5"/>
    <n v="476.34999999999997"/>
    <n v="95.27"/>
    <n v="10"/>
    <n v="428.71"/>
    <n v="99.13"/>
    <n v="30"/>
    <x v="0"/>
    <s v="Credit Card"/>
  </r>
  <r>
    <n v="100373"/>
    <x v="413"/>
    <s v="AD-4308-B"/>
    <s v="Copa Sense"/>
    <x v="1"/>
    <x v="0"/>
    <x v="0"/>
    <n v="1"/>
    <n v="170.96"/>
    <n v="170.96"/>
    <n v="0"/>
    <n v="170.96"/>
    <n v="57.49"/>
    <n v="34"/>
    <x v="1"/>
    <s v="Apple Pay"/>
  </r>
  <r>
    <n v="100118"/>
    <x v="107"/>
    <s v="AD-4559-D"/>
    <s v="Stan Smith"/>
    <x v="1"/>
    <x v="0"/>
    <x v="3"/>
    <n v="7"/>
    <n v="585.34"/>
    <n v="83.62"/>
    <n v="0"/>
    <n v="585.34"/>
    <n v="176.98"/>
    <n v="45"/>
    <x v="1"/>
    <s v="Cash"/>
  </r>
  <r>
    <n v="100802"/>
    <x v="414"/>
    <s v="AD-8298-D"/>
    <s v="NMD_R1"/>
    <x v="1"/>
    <x v="0"/>
    <x v="2"/>
    <n v="1"/>
    <n v="132.72999999999999"/>
    <n v="132.72999999999999"/>
    <n v="10"/>
    <n v="119.46"/>
    <n v="32.19"/>
    <n v="42"/>
    <x v="1"/>
    <s v="Google Pay"/>
  </r>
  <r>
    <n v="100250"/>
    <x v="415"/>
    <s v="AD-4328-C"/>
    <s v="Gym Bag"/>
    <x v="2"/>
    <x v="1"/>
    <x v="2"/>
    <n v="3"/>
    <n v="134.25"/>
    <n v="44.75"/>
    <n v="0"/>
    <n v="134.25"/>
    <n v="48.87"/>
    <n v="32"/>
    <x v="0"/>
    <s v="Cash"/>
  </r>
  <r>
    <n v="101156"/>
    <x v="281"/>
    <s v="AD-5395-D"/>
    <s v="Adicolor Hoodie"/>
    <x v="0"/>
    <x v="0"/>
    <x v="0"/>
    <n v="4"/>
    <n v="251.96"/>
    <n v="62.99"/>
    <n v="0"/>
    <n v="251.96"/>
    <n v="47.38"/>
    <n v="28"/>
    <x v="1"/>
    <s v="UPI"/>
  </r>
  <r>
    <n v="100009"/>
    <x v="125"/>
    <s v="AD-7543-C"/>
    <s v="Performance Socks (3-pack)"/>
    <x v="2"/>
    <x v="4"/>
    <x v="1"/>
    <n v="3"/>
    <n v="47.160000000000004"/>
    <n v="15.72"/>
    <n v="10"/>
    <n v="42.44"/>
    <n v="15.03"/>
    <n v="16"/>
    <x v="1"/>
    <s v="Apple Pay"/>
  </r>
  <r>
    <n v="100449"/>
    <x v="416"/>
    <s v="AD-3742-A"/>
    <s v="Ultraboost Light"/>
    <x v="1"/>
    <x v="0"/>
    <x v="0"/>
    <n v="2"/>
    <n v="265.2"/>
    <n v="132.6"/>
    <n v="5"/>
    <n v="251.94"/>
    <n v="78.19"/>
    <n v="30"/>
    <x v="1"/>
    <s v="Debit Card"/>
  </r>
  <r>
    <n v="100873"/>
    <x v="417"/>
    <s v="AD-1602-C"/>
    <s v="NMD_R1"/>
    <x v="1"/>
    <x v="0"/>
    <x v="0"/>
    <n v="5"/>
    <n v="589.75"/>
    <n v="117.95"/>
    <n v="0"/>
    <n v="589.75"/>
    <n v="196.16"/>
    <n v="16"/>
    <x v="2"/>
    <s v="Cash"/>
  </r>
  <r>
    <n v="100389"/>
    <x v="418"/>
    <s v="AD-2676-A"/>
    <s v="Primegreen Jacket"/>
    <x v="0"/>
    <x v="1"/>
    <x v="0"/>
    <n v="6"/>
    <n v="785.16000000000008"/>
    <n v="130.86000000000001"/>
    <n v="0"/>
    <n v="785.16"/>
    <n v="229.42"/>
    <n v="27"/>
    <x v="1"/>
    <s v="Apple Pay"/>
  </r>
  <r>
    <n v="100965"/>
    <x v="419"/>
    <s v="AD-8220-A"/>
    <s v="Adilette Slides"/>
    <x v="1"/>
    <x v="4"/>
    <x v="1"/>
    <n v="5"/>
    <n v="172.04999999999998"/>
    <n v="34.409999999999997"/>
    <n v="10"/>
    <n v="154.84"/>
    <n v="46.15"/>
    <n v="16"/>
    <x v="1"/>
    <s v="Apple Pay"/>
  </r>
  <r>
    <n v="100460"/>
    <x v="420"/>
    <s v="AD-4170-C"/>
    <s v="Z.N.E. Hoodie"/>
    <x v="0"/>
    <x v="0"/>
    <x v="0"/>
    <n v="3"/>
    <n v="409.11"/>
    <n v="136.37"/>
    <n v="5"/>
    <n v="388.65"/>
    <n v="101.81"/>
    <n v="33"/>
    <x v="1"/>
    <s v="Debit Card"/>
  </r>
  <r>
    <n v="101146"/>
    <x v="97"/>
    <s v="AD-2278-A"/>
    <s v="Tiro 23 Track Pants"/>
    <x v="0"/>
    <x v="1"/>
    <x v="2"/>
    <n v="5"/>
    <n v="241.25"/>
    <n v="48.25"/>
    <n v="0"/>
    <n v="241.25"/>
    <n v="60.99"/>
    <n v="23"/>
    <x v="1"/>
    <s v="UPI"/>
  </r>
  <r>
    <n v="100144"/>
    <x v="421"/>
    <s v="AD-6562-B"/>
    <s v="Stan Smith"/>
    <x v="1"/>
    <x v="0"/>
    <x v="1"/>
    <n v="3"/>
    <n v="307.23"/>
    <n v="102.41"/>
    <n v="20"/>
    <n v="245.78"/>
    <n v="72.55"/>
    <n v="31"/>
    <x v="1"/>
    <s v="NetBanking"/>
  </r>
  <r>
    <n v="100501"/>
    <x v="422"/>
    <s v="AD-6833-B"/>
    <s v="Adilette Slides"/>
    <x v="1"/>
    <x v="4"/>
    <x v="0"/>
    <n v="2"/>
    <n v="72.760000000000005"/>
    <n v="36.380000000000003"/>
    <n v="20"/>
    <n v="58.21"/>
    <n v="13.87"/>
    <n v="39"/>
    <x v="1"/>
    <s v="UPI"/>
  </r>
  <r>
    <n v="101107"/>
    <x v="304"/>
    <s v="AD-7783-D"/>
    <s v="Tiro 23 Track Pants"/>
    <x v="0"/>
    <x v="1"/>
    <x v="2"/>
    <n v="2"/>
    <n v="119.32"/>
    <n v="59.66"/>
    <n v="0"/>
    <n v="119.32"/>
    <n v="32.15"/>
    <n v="16"/>
    <x v="0"/>
    <s v="Google Pay"/>
  </r>
  <r>
    <n v="100539"/>
    <x v="423"/>
    <s v="AD-1349-D"/>
    <s v="Sports Bottle"/>
    <x v="2"/>
    <x v="0"/>
    <x v="2"/>
    <n v="6"/>
    <n v="86.4"/>
    <n v="14.4"/>
    <n v="0"/>
    <n v="86.4"/>
    <n v="29.37"/>
    <n v="16"/>
    <x v="1"/>
    <s v="UPI"/>
  </r>
  <r>
    <n v="100177"/>
    <x v="421"/>
    <s v="AD-9151-C"/>
    <s v="Primegreen Jacket"/>
    <x v="0"/>
    <x v="2"/>
    <x v="0"/>
    <n v="3"/>
    <n v="414.03"/>
    <n v="138.01"/>
    <n v="0"/>
    <n v="414.03"/>
    <n v="121.98"/>
    <n v="25"/>
    <x v="0"/>
    <s v="Google Pay"/>
  </r>
  <r>
    <n v="101158"/>
    <x v="73"/>
    <s v="AD-2137-B"/>
    <s v="NMD_R1"/>
    <x v="1"/>
    <x v="1"/>
    <x v="2"/>
    <n v="2"/>
    <n v="267.02"/>
    <n v="133.51"/>
    <n v="5"/>
    <n v="253.67"/>
    <n v="72.760000000000005"/>
    <n v="42"/>
    <x v="1"/>
    <s v="Cash"/>
  </r>
  <r>
    <n v="101050"/>
    <x v="424"/>
    <s v="AD-1170-C"/>
    <s v="Sports Bottle"/>
    <x v="2"/>
    <x v="4"/>
    <x v="2"/>
    <n v="2"/>
    <n v="31.58"/>
    <n v="15.79"/>
    <n v="40"/>
    <n v="18.95"/>
    <n v="8.6"/>
    <n v="38"/>
    <x v="1"/>
    <s v="Credit Card"/>
  </r>
  <r>
    <n v="100583"/>
    <x v="209"/>
    <s v="AD-5421-D"/>
    <s v="Primegreen Jacket"/>
    <x v="0"/>
    <x v="4"/>
    <x v="0"/>
    <n v="4"/>
    <n v="537.28"/>
    <n v="134.32"/>
    <n v="5"/>
    <n v="510.42"/>
    <n v="145.47"/>
    <n v="25"/>
    <x v="1"/>
    <s v="Credit Card"/>
  </r>
  <r>
    <n v="101194"/>
    <x v="425"/>
    <s v="AD-5103-A"/>
    <s v="Copa Sense"/>
    <x v="1"/>
    <x v="1"/>
    <x v="3"/>
    <n v="3"/>
    <n v="514.86"/>
    <n v="171.62"/>
    <n v="0"/>
    <n v="514.86"/>
    <n v="167.49"/>
    <n v="28"/>
    <x v="0"/>
    <s v="Credit Card"/>
  </r>
  <r>
    <n v="100007"/>
    <x v="280"/>
    <s v="AD-1916-B"/>
    <s v="Performance Socks (3-pack)"/>
    <x v="2"/>
    <x v="3"/>
    <x v="1"/>
    <n v="4"/>
    <n v="71.959999999999994"/>
    <n v="17.989999999999998"/>
    <n v="5"/>
    <n v="68.36"/>
    <n v="35.85"/>
    <n v="39"/>
    <x v="0"/>
    <s v="Cash"/>
  </r>
  <r>
    <n v="100573"/>
    <x v="303"/>
    <s v="AD-6465-D"/>
    <s v="Performance Socks (3-pack)"/>
    <x v="2"/>
    <x v="0"/>
    <x v="0"/>
    <n v="4"/>
    <n v="76"/>
    <n v="19"/>
    <n v="0"/>
    <n v="76"/>
    <n v="21.18"/>
    <n v="44"/>
    <x v="0"/>
    <s v="NetBanking"/>
  </r>
  <r>
    <n v="100842"/>
    <x v="425"/>
    <s v="AD-7974-D"/>
    <s v="Z.N.E. Hoodie"/>
    <x v="0"/>
    <x v="4"/>
    <x v="1"/>
    <n v="4"/>
    <n v="498.12"/>
    <n v="124.53"/>
    <n v="0"/>
    <n v="498.12"/>
    <n v="113.08"/>
    <n v="31"/>
    <x v="1"/>
    <s v="PayPal"/>
  </r>
  <r>
    <n v="100357"/>
    <x v="426"/>
    <s v="AD-1029-D"/>
    <s v="Running Watch Strap"/>
    <x v="2"/>
    <x v="1"/>
    <x v="1"/>
    <n v="2"/>
    <n v="77.64"/>
    <n v="38.82"/>
    <n v="0"/>
    <n v="77.64"/>
    <n v="24.21"/>
    <n v="42"/>
    <x v="1"/>
    <s v="PayPal"/>
  </r>
  <r>
    <n v="100329"/>
    <x v="99"/>
    <s v="AD-5625-C"/>
    <s v="Adicolor Hoodie"/>
    <x v="0"/>
    <x v="3"/>
    <x v="3"/>
    <n v="3"/>
    <n v="238.74"/>
    <n v="79.58"/>
    <n v="0"/>
    <n v="238.74"/>
    <n v="77.37"/>
    <n v="24"/>
    <x v="1"/>
    <s v="Google Pay"/>
  </r>
  <r>
    <n v="100704"/>
    <x v="427"/>
    <s v="AD-5720-A"/>
    <s v="Predator Freak"/>
    <x v="1"/>
    <x v="1"/>
    <x v="1"/>
    <n v="2"/>
    <n v="448.28"/>
    <n v="224.14"/>
    <n v="0"/>
    <n v="448.28"/>
    <n v="104.77"/>
    <n v="37"/>
    <x v="1"/>
    <s v="Cash"/>
  </r>
  <r>
    <n v="100829"/>
    <x v="23"/>
    <s v="AD-6592-C"/>
    <s v="Adilette Slides"/>
    <x v="1"/>
    <x v="1"/>
    <x v="1"/>
    <n v="2"/>
    <n v="67.900000000000006"/>
    <n v="33.950000000000003"/>
    <n v="5"/>
    <n v="64.5"/>
    <n v="22.58"/>
    <n v="32"/>
    <x v="1"/>
    <s v="Google Pay"/>
  </r>
  <r>
    <n v="100258"/>
    <x v="375"/>
    <s v="AD-5914-A"/>
    <s v="Primegreen Jacket"/>
    <x v="0"/>
    <x v="3"/>
    <x v="1"/>
    <n v="2"/>
    <n v="282.44"/>
    <n v="141.22"/>
    <n v="10"/>
    <n v="254.2"/>
    <n v="54.11"/>
    <n v="22"/>
    <x v="1"/>
    <s v="UPI"/>
  </r>
  <r>
    <n v="100890"/>
    <x v="338"/>
    <s v="AD-1939-B"/>
    <s v="NMD_R1"/>
    <x v="1"/>
    <x v="1"/>
    <x v="0"/>
    <n v="1"/>
    <n v="136.99"/>
    <n v="136.99"/>
    <n v="5"/>
    <n v="130.13999999999999"/>
    <n v="41.54"/>
    <n v="32"/>
    <x v="0"/>
    <s v="PayPal"/>
  </r>
  <r>
    <n v="100833"/>
    <x v="428"/>
    <s v="AD-9516-C"/>
    <s v="Primegreen Jacket"/>
    <x v="0"/>
    <x v="0"/>
    <x v="1"/>
    <n v="2"/>
    <n v="313.52"/>
    <n v="156.76"/>
    <n v="0"/>
    <n v="313.52"/>
    <n v="109.41"/>
    <n v="32"/>
    <x v="0"/>
    <s v="Credit Card"/>
  </r>
  <r>
    <n v="101187"/>
    <x v="52"/>
    <s v="AD-8601-D"/>
    <s v="Running Watch Strap"/>
    <x v="2"/>
    <x v="0"/>
    <x v="0"/>
    <n v="3"/>
    <n v="106.44"/>
    <n v="35.479999999999997"/>
    <n v="5"/>
    <n v="101.12"/>
    <n v="29.56"/>
    <n v="38"/>
    <x v="0"/>
    <s v="Debit Card"/>
  </r>
  <r>
    <n v="100904"/>
    <x v="429"/>
    <s v="AD-1599-B"/>
    <s v="Training Shorts"/>
    <x v="0"/>
    <x v="1"/>
    <x v="3"/>
    <n v="2"/>
    <n v="50.82"/>
    <n v="25.41"/>
    <n v="0"/>
    <n v="50.82"/>
    <n v="14.51"/>
    <n v="40"/>
    <x v="1"/>
    <s v="Apple Pay"/>
  </r>
  <r>
    <n v="100525"/>
    <x v="430"/>
    <s v="AD-8052-C"/>
    <s v="Sports Bottle"/>
    <x v="2"/>
    <x v="2"/>
    <x v="3"/>
    <n v="3"/>
    <n v="42"/>
    <n v="14"/>
    <n v="10"/>
    <n v="37.799999999999997"/>
    <n v="9.34"/>
    <n v="16"/>
    <x v="1"/>
    <s v="Credit Card"/>
  </r>
  <r>
    <n v="100813"/>
    <x v="255"/>
    <s v="AD-2410-C"/>
    <s v="Training Cap"/>
    <x v="2"/>
    <x v="0"/>
    <x v="0"/>
    <n v="5"/>
    <n v="94.149999999999991"/>
    <n v="18.829999999999998"/>
    <n v="0"/>
    <n v="94.15"/>
    <n v="30.76"/>
    <n v="17"/>
    <x v="0"/>
    <s v="UPI"/>
  </r>
  <r>
    <n v="100731"/>
    <x v="430"/>
    <s v="AD-3028-B"/>
    <s v="Stan Smith"/>
    <x v="1"/>
    <x v="4"/>
    <x v="0"/>
    <n v="2"/>
    <n v="192.04"/>
    <n v="96.02"/>
    <n v="0"/>
    <n v="192.04"/>
    <n v="56.49"/>
    <n v="43"/>
    <x v="1"/>
    <s v="Debit Card"/>
  </r>
  <r>
    <n v="101031"/>
    <x v="431"/>
    <s v="AD-8961-A"/>
    <s v="Z.N.E. Hoodie"/>
    <x v="0"/>
    <x v="0"/>
    <x v="0"/>
    <n v="1"/>
    <n v="119"/>
    <n v="119"/>
    <n v="5"/>
    <n v="113.05"/>
    <n v="30.11"/>
    <n v="28"/>
    <x v="1"/>
    <s v="NetBanking"/>
  </r>
  <r>
    <n v="101140"/>
    <x v="432"/>
    <s v="AD-9082-A"/>
    <s v="Superstar"/>
    <x v="1"/>
    <x v="1"/>
    <x v="1"/>
    <n v="4"/>
    <n v="356.72"/>
    <n v="89.18"/>
    <n v="0"/>
    <n v="356.72"/>
    <n v="105.33"/>
    <n v="30"/>
    <x v="1"/>
    <s v="Google Pay"/>
  </r>
  <r>
    <n v="100440"/>
    <x v="433"/>
    <s v="AD-1881-A"/>
    <s v="Ultraboost Light"/>
    <x v="1"/>
    <x v="1"/>
    <x v="3"/>
    <n v="4"/>
    <n v="588.55999999999995"/>
    <n v="147.13999999999999"/>
    <n v="0"/>
    <n v="588.55999999999995"/>
    <n v="184.48"/>
    <n v="21"/>
    <x v="0"/>
    <s v="Cash"/>
  </r>
  <r>
    <n v="100531"/>
    <x v="91"/>
    <s v="AD-1918-C"/>
    <s v="Training Cap"/>
    <x v="2"/>
    <x v="1"/>
    <x v="1"/>
    <n v="2"/>
    <n v="39.880000000000003"/>
    <n v="19.940000000000001"/>
    <n v="0"/>
    <n v="39.880000000000003"/>
    <n v="11.52"/>
    <n v="23"/>
    <x v="1"/>
    <s v="PayPal"/>
  </r>
  <r>
    <n v="100959"/>
    <x v="177"/>
    <s v="AD-7297-D"/>
    <s v="Adicolor Hoodie"/>
    <x v="0"/>
    <x v="3"/>
    <x v="2"/>
    <n v="2"/>
    <n v="135.12"/>
    <n v="67.56"/>
    <n v="0"/>
    <n v="135.12"/>
    <n v="35.75"/>
    <n v="29"/>
    <x v="1"/>
    <s v="Debit Card"/>
  </r>
  <r>
    <n v="100228"/>
    <x v="434"/>
    <s v="AD-7813-D"/>
    <s v="NMD_R1"/>
    <x v="1"/>
    <x v="3"/>
    <x v="1"/>
    <n v="3"/>
    <n v="427.62"/>
    <n v="142.54"/>
    <n v="20"/>
    <n v="342.1"/>
    <n v="109.2"/>
    <n v="18"/>
    <x v="1"/>
    <s v="Cash"/>
  </r>
  <r>
    <n v="101040"/>
    <x v="131"/>
    <s v="AD-1672-B"/>
    <s v="Essentials Tee"/>
    <x v="0"/>
    <x v="1"/>
    <x v="2"/>
    <n v="5"/>
    <n v="124.35000000000001"/>
    <n v="24.87"/>
    <n v="20"/>
    <n v="99.48"/>
    <n v="19.190000000000001"/>
    <n v="31"/>
    <x v="1"/>
    <s v="Debit Card"/>
  </r>
  <r>
    <n v="100212"/>
    <x v="435"/>
    <s v="AD-8932-B"/>
    <s v="Training Shorts"/>
    <x v="0"/>
    <x v="2"/>
    <x v="1"/>
    <n v="2"/>
    <n v="64.62"/>
    <n v="32.31"/>
    <n v="0"/>
    <n v="64.62"/>
    <n v="19.29"/>
    <n v="31"/>
    <x v="0"/>
    <s v="NetBanking"/>
  </r>
  <r>
    <n v="100079"/>
    <x v="436"/>
    <s v="AD-8381-D"/>
    <s v="Sports Bottle"/>
    <x v="2"/>
    <x v="0"/>
    <x v="1"/>
    <n v="4"/>
    <n v="62.56"/>
    <n v="15.64"/>
    <n v="0"/>
    <n v="62.56"/>
    <n v="21.71"/>
    <n v="46"/>
    <x v="1"/>
    <s v="Apple Pay"/>
  </r>
  <r>
    <n v="100148"/>
    <x v="437"/>
    <s v="AD-9312-A"/>
    <s v="Superstar"/>
    <x v="1"/>
    <x v="0"/>
    <x v="1"/>
    <n v="4"/>
    <n v="397"/>
    <n v="99.25"/>
    <n v="5"/>
    <n v="377.15"/>
    <n v="133.53"/>
    <n v="33"/>
    <x v="0"/>
    <s v="Cash"/>
  </r>
  <r>
    <n v="100591"/>
    <x v="438"/>
    <s v="AD-7204-D"/>
    <s v="Stan Smith"/>
    <x v="1"/>
    <x v="0"/>
    <x v="0"/>
    <n v="4"/>
    <n v="342.96"/>
    <n v="85.74"/>
    <n v="0"/>
    <n v="342.96"/>
    <n v="95.02"/>
    <n v="24"/>
    <x v="0"/>
    <s v="PayPal"/>
  </r>
  <r>
    <n v="100707"/>
    <x v="439"/>
    <s v="AD-8347-B"/>
    <s v="Adilette Slides"/>
    <x v="1"/>
    <x v="4"/>
    <x v="0"/>
    <n v="1"/>
    <n v="35.89"/>
    <n v="35.89"/>
    <n v="0"/>
    <n v="35.89"/>
    <n v="11.09"/>
    <n v="40"/>
    <x v="1"/>
    <s v="Cash"/>
  </r>
  <r>
    <n v="100589"/>
    <x v="67"/>
    <s v="AD-1408-B"/>
    <s v="Running Watch Strap"/>
    <x v="2"/>
    <x v="0"/>
    <x v="0"/>
    <n v="2"/>
    <n v="76.099999999999994"/>
    <n v="38.049999999999997"/>
    <n v="0"/>
    <n v="76.099999999999994"/>
    <n v="28.72"/>
    <n v="23"/>
    <x v="1"/>
    <s v="Google Pay"/>
  </r>
  <r>
    <n v="100133"/>
    <x v="111"/>
    <s v="AD-4705-D"/>
    <s v="Training Cap"/>
    <x v="2"/>
    <x v="4"/>
    <x v="2"/>
    <n v="4"/>
    <n v="100.44"/>
    <n v="25.11"/>
    <n v="20"/>
    <n v="80.349999999999994"/>
    <n v="33.92"/>
    <n v="16"/>
    <x v="1"/>
    <s v="NetBanking"/>
  </r>
  <r>
    <n v="100781"/>
    <x v="440"/>
    <s v="AD-2922-A"/>
    <s v="Primegreen Jacket"/>
    <x v="0"/>
    <x v="0"/>
    <x v="0"/>
    <n v="3"/>
    <n v="452.79"/>
    <n v="150.93"/>
    <n v="0"/>
    <n v="452.79"/>
    <n v="134.34"/>
    <n v="25"/>
    <x v="0"/>
    <s v="PayPal"/>
  </r>
  <r>
    <n v="100408"/>
    <x v="441"/>
    <s v="AD-5933-D"/>
    <s v="Performance Socks (3-pack)"/>
    <x v="2"/>
    <x v="1"/>
    <x v="1"/>
    <n v="2"/>
    <n v="40.56"/>
    <n v="20.28"/>
    <n v="5"/>
    <n v="38.53"/>
    <n v="9.98"/>
    <n v="28"/>
    <x v="1"/>
    <s v="Credit Card"/>
  </r>
  <r>
    <n v="100969"/>
    <x v="442"/>
    <s v="AD-6918-D"/>
    <s v="Originals Backpack"/>
    <x v="2"/>
    <x v="0"/>
    <x v="0"/>
    <n v="2"/>
    <n v="107.78"/>
    <n v="53.89"/>
    <n v="5"/>
    <n v="102.39"/>
    <n v="37.729999999999997"/>
    <n v="44"/>
    <x v="1"/>
    <s v="UPI"/>
  </r>
  <r>
    <n v="100507"/>
    <x v="443"/>
    <s v="AD-7866-C"/>
    <s v="Essentials Tee"/>
    <x v="0"/>
    <x v="0"/>
    <x v="0"/>
    <n v="3"/>
    <n v="84.179999999999993"/>
    <n v="28.06"/>
    <n v="5"/>
    <n v="79.97"/>
    <n v="21.4"/>
    <n v="34"/>
    <x v="1"/>
    <s v="UPI"/>
  </r>
  <r>
    <n v="100876"/>
    <x v="351"/>
    <s v="AD-4143-A"/>
    <s v="Superstar"/>
    <x v="1"/>
    <x v="3"/>
    <x v="2"/>
    <n v="2"/>
    <n v="203.64"/>
    <n v="101.82"/>
    <n v="10"/>
    <n v="183.28"/>
    <n v="65.34"/>
    <n v="24"/>
    <x v="0"/>
    <s v="NetBanking"/>
  </r>
  <r>
    <n v="100504"/>
    <x v="215"/>
    <s v="AD-8836-A"/>
    <s v="Gym Bag"/>
    <x v="2"/>
    <x v="4"/>
    <x v="1"/>
    <n v="4"/>
    <n v="179.44"/>
    <n v="44.86"/>
    <n v="5"/>
    <n v="170.47"/>
    <n v="54.65"/>
    <n v="34"/>
    <x v="1"/>
    <s v="Apple Pay"/>
  </r>
  <r>
    <n v="100718"/>
    <x v="444"/>
    <s v="AD-9095-D"/>
    <s v="Primegreen Jacket"/>
    <x v="0"/>
    <x v="1"/>
    <x v="2"/>
    <n v="4"/>
    <n v="603.84"/>
    <n v="150.96"/>
    <n v="5"/>
    <n v="573.65"/>
    <n v="113.41"/>
    <n v="28"/>
    <x v="1"/>
    <s v="NetBanking"/>
  </r>
  <r>
    <n v="100347"/>
    <x v="445"/>
    <s v="AD-6883-D"/>
    <s v="Gym Bag"/>
    <x v="2"/>
    <x v="3"/>
    <x v="1"/>
    <n v="4"/>
    <n v="183.36"/>
    <n v="45.84"/>
    <n v="20"/>
    <n v="146.69"/>
    <n v="36.659999999999997"/>
    <n v="30"/>
    <x v="1"/>
    <s v="Apple Pay"/>
  </r>
  <r>
    <n v="100386"/>
    <x v="446"/>
    <s v="AD-4626-B"/>
    <s v="Superstar"/>
    <x v="1"/>
    <x v="1"/>
    <x v="0"/>
    <n v="2"/>
    <n v="180"/>
    <n v="90"/>
    <n v="5"/>
    <n v="171"/>
    <n v="48.7"/>
    <n v="26"/>
    <x v="0"/>
    <s v="UPI"/>
  </r>
  <r>
    <n v="100000"/>
    <x v="102"/>
    <s v="AD-7912-A"/>
    <s v="Stan Smith"/>
    <x v="1"/>
    <x v="4"/>
    <x v="0"/>
    <n v="3"/>
    <n v="265.14"/>
    <n v="88.38"/>
    <n v="10"/>
    <n v="238.63"/>
    <n v="69.94"/>
    <n v="32"/>
    <x v="0"/>
    <s v="Debit Card"/>
  </r>
  <r>
    <n v="100360"/>
    <x v="447"/>
    <s v="AD-1788-D"/>
    <s v="Essentials Tee"/>
    <x v="0"/>
    <x v="0"/>
    <x v="0"/>
    <n v="2"/>
    <n v="43.72"/>
    <n v="21.86"/>
    <n v="20"/>
    <n v="34.979999999999997"/>
    <n v="7.43"/>
    <n v="43"/>
    <x v="0"/>
    <s v="Credit Card"/>
  </r>
  <r>
    <n v="101133"/>
    <x v="448"/>
    <s v="AD-7089-C"/>
    <s v="Copa Sense"/>
    <x v="1"/>
    <x v="1"/>
    <x v="0"/>
    <n v="4"/>
    <n v="692.24"/>
    <n v="173.06"/>
    <n v="0"/>
    <n v="692.24"/>
    <n v="210.25"/>
    <n v="38"/>
    <x v="1"/>
    <s v="UPI"/>
  </r>
  <r>
    <n v="100475"/>
    <x v="449"/>
    <s v="AD-1916-B"/>
    <s v="Ultraboost Light"/>
    <x v="1"/>
    <x v="0"/>
    <x v="0"/>
    <n v="2"/>
    <n v="322.04000000000002"/>
    <n v="161.02000000000001"/>
    <n v="10"/>
    <n v="289.83999999999997"/>
    <n v="76.67"/>
    <n v="19"/>
    <x v="1"/>
    <s v="PayPal"/>
  </r>
  <r>
    <n v="100777"/>
    <x v="309"/>
    <s v="AD-7722-C"/>
    <s v="Tiro 23 Track Pants"/>
    <x v="0"/>
    <x v="4"/>
    <x v="0"/>
    <n v="1"/>
    <n v="60.55"/>
    <n v="60.55"/>
    <n v="5"/>
    <n v="57.52"/>
    <n v="16.149999999999999"/>
    <n v="33"/>
    <x v="1"/>
    <s v="PayPal"/>
  </r>
  <r>
    <n v="100753"/>
    <x v="403"/>
    <s v="AD-8695-A"/>
    <s v="Performance Socks (3-pack)"/>
    <x v="2"/>
    <x v="1"/>
    <x v="1"/>
    <n v="3"/>
    <n v="47.849999999999994"/>
    <n v="15.95"/>
    <n v="0"/>
    <n v="47.85"/>
    <n v="14.86"/>
    <n v="23"/>
    <x v="1"/>
    <s v="Credit Card"/>
  </r>
  <r>
    <n v="100172"/>
    <x v="380"/>
    <s v="AD-4950-A"/>
    <s v="Primegreen Jacket"/>
    <x v="0"/>
    <x v="4"/>
    <x v="0"/>
    <n v="3"/>
    <n v="416.79"/>
    <n v="138.93"/>
    <n v="0"/>
    <n v="416.79"/>
    <n v="123.68"/>
    <n v="31"/>
    <x v="0"/>
    <s v="Cash"/>
  </r>
  <r>
    <n v="100450"/>
    <x v="68"/>
    <s v="AD-4368-D"/>
    <s v="Superstar"/>
    <x v="1"/>
    <x v="0"/>
    <x v="0"/>
    <n v="1"/>
    <n v="89.51"/>
    <n v="89.51"/>
    <n v="20"/>
    <n v="71.61"/>
    <n v="22.12"/>
    <n v="29"/>
    <x v="0"/>
    <s v="Debit Card"/>
  </r>
  <r>
    <n v="100125"/>
    <x v="450"/>
    <s v="AD-8504-A"/>
    <s v="Running Watch Strap"/>
    <x v="2"/>
    <x v="1"/>
    <x v="3"/>
    <n v="3"/>
    <n v="126.47999999999999"/>
    <n v="42.16"/>
    <n v="10"/>
    <n v="113.83"/>
    <n v="37.299999999999997"/>
    <n v="25"/>
    <x v="1"/>
    <s v="NetBanking"/>
  </r>
  <r>
    <n v="100930"/>
    <x v="195"/>
    <s v="AD-8713-C"/>
    <s v="Performance Socks (3-pack)"/>
    <x v="2"/>
    <x v="1"/>
    <x v="0"/>
    <n v="3"/>
    <n v="57.449999999999996"/>
    <n v="19.149999999999999"/>
    <n v="10"/>
    <n v="51.7"/>
    <n v="15.64"/>
    <n v="22"/>
    <x v="0"/>
    <s v="PayPal"/>
  </r>
  <r>
    <n v="100530"/>
    <x v="451"/>
    <s v="AD-7885-C"/>
    <s v="Performance Socks (3-pack)"/>
    <x v="2"/>
    <x v="4"/>
    <x v="0"/>
    <n v="3"/>
    <n v="52.47"/>
    <n v="17.489999999999998"/>
    <n v="0"/>
    <n v="52.47"/>
    <n v="27.18"/>
    <n v="41"/>
    <x v="1"/>
    <s v="Cash"/>
  </r>
  <r>
    <n v="100090"/>
    <x v="452"/>
    <s v="AD-4073-C"/>
    <s v="Gym Bag"/>
    <x v="2"/>
    <x v="4"/>
    <x v="2"/>
    <n v="2"/>
    <n v="94.42"/>
    <n v="47.21"/>
    <n v="0"/>
    <n v="94.42"/>
    <n v="36.17"/>
    <n v="27"/>
    <x v="1"/>
    <s v="Credit Card"/>
  </r>
  <r>
    <n v="101161"/>
    <x v="453"/>
    <s v="AD-4740-B"/>
    <s v="Adicolor Hoodie"/>
    <x v="0"/>
    <x v="4"/>
    <x v="0"/>
    <n v="3"/>
    <n v="221.25"/>
    <n v="73.75"/>
    <n v="5"/>
    <n v="210.19"/>
    <n v="40.81"/>
    <n v="26"/>
    <x v="0"/>
    <s v="NetBanking"/>
  </r>
  <r>
    <n v="100181"/>
    <x v="330"/>
    <s v="AD-8179-A"/>
    <s v="Primegreen Jacket"/>
    <x v="0"/>
    <x v="0"/>
    <x v="1"/>
    <n v="4"/>
    <n v="624.67999999999995"/>
    <n v="156.16999999999999"/>
    <n v="5"/>
    <n v="593.45000000000005"/>
    <n v="178.37"/>
    <n v="33"/>
    <x v="0"/>
    <s v="PayPal"/>
  </r>
  <r>
    <n v="101026"/>
    <x v="454"/>
    <s v="AD-2780-D"/>
    <s v="Training Cap"/>
    <x v="2"/>
    <x v="4"/>
    <x v="0"/>
    <n v="4"/>
    <n v="86.72"/>
    <n v="21.68"/>
    <n v="5"/>
    <n v="82.38"/>
    <n v="27.07"/>
    <n v="30"/>
    <x v="1"/>
    <s v="NetBanking"/>
  </r>
  <r>
    <n v="100999"/>
    <x v="455"/>
    <s v="AD-2922-B"/>
    <s v="Gym Bag"/>
    <x v="2"/>
    <x v="1"/>
    <x v="2"/>
    <n v="1"/>
    <n v="47.77"/>
    <n v="47.77"/>
    <n v="0"/>
    <n v="47.77"/>
    <n v="16.89"/>
    <n v="37"/>
    <x v="0"/>
    <s v="UPI"/>
  </r>
  <r>
    <n v="100251"/>
    <x v="456"/>
    <s v="AD-5836-B"/>
    <s v="Originals Backpack"/>
    <x v="2"/>
    <x v="2"/>
    <x v="1"/>
    <n v="2"/>
    <n v="112.38"/>
    <n v="56.19"/>
    <n v="10"/>
    <n v="101.14"/>
    <n v="26.53"/>
    <n v="33"/>
    <x v="1"/>
    <s v="Apple Pay"/>
  </r>
  <r>
    <n v="100069"/>
    <x v="449"/>
    <s v="AD-3979-D"/>
    <s v="Performance Socks (3-pack)"/>
    <x v="2"/>
    <x v="0"/>
    <x v="0"/>
    <n v="2"/>
    <n v="37.32"/>
    <n v="18.66"/>
    <n v="0"/>
    <n v="37.32"/>
    <n v="12.5"/>
    <n v="37"/>
    <x v="1"/>
    <s v="Cash"/>
  </r>
  <r>
    <n v="100131"/>
    <x v="457"/>
    <s v="AD-3002-D"/>
    <s v="Training Shorts"/>
    <x v="0"/>
    <x v="0"/>
    <x v="1"/>
    <n v="4"/>
    <n v="117.8"/>
    <n v="29.45"/>
    <n v="0"/>
    <n v="117.8"/>
    <n v="44.62"/>
    <n v="21"/>
    <x v="0"/>
    <s v="Cash"/>
  </r>
  <r>
    <n v="100300"/>
    <x v="116"/>
    <s v="AD-9428-A"/>
    <s v="Essentials Tee"/>
    <x v="0"/>
    <x v="4"/>
    <x v="3"/>
    <n v="3"/>
    <n v="78.81"/>
    <n v="26.27"/>
    <n v="0"/>
    <n v="78.81"/>
    <n v="19.940000000000001"/>
    <n v="33"/>
    <x v="1"/>
    <s v="NetBanking"/>
  </r>
  <r>
    <n v="101132"/>
    <x v="458"/>
    <s v="AD-7525-A"/>
    <s v="Ultraboost Light"/>
    <x v="1"/>
    <x v="4"/>
    <x v="0"/>
    <n v="2"/>
    <n v="300.04000000000002"/>
    <n v="150.02000000000001"/>
    <n v="0"/>
    <n v="300.04000000000002"/>
    <n v="113.01"/>
    <n v="41"/>
    <x v="0"/>
    <s v="Cash"/>
  </r>
  <r>
    <n v="100326"/>
    <x v="27"/>
    <s v="AD-1721-A"/>
    <s v="Stan Smith"/>
    <x v="1"/>
    <x v="0"/>
    <x v="0"/>
    <n v="3"/>
    <n v="273.12"/>
    <n v="91.04"/>
    <n v="0"/>
    <n v="273.12"/>
    <n v="74.739999999999995"/>
    <n v="32"/>
    <x v="0"/>
    <s v="Credit Card"/>
  </r>
  <r>
    <n v="101019"/>
    <x v="187"/>
    <s v="AD-8350-B"/>
    <s v="Ultraboost 22"/>
    <x v="1"/>
    <x v="0"/>
    <x v="1"/>
    <n v="2"/>
    <n v="332.52"/>
    <n v="166.26"/>
    <n v="0"/>
    <n v="332.52"/>
    <n v="103.33"/>
    <n v="36"/>
    <x v="1"/>
    <s v="Credit Card"/>
  </r>
  <r>
    <n v="100499"/>
    <x v="459"/>
    <s v="AD-7536-C"/>
    <s v="Training Shorts"/>
    <x v="0"/>
    <x v="4"/>
    <x v="2"/>
    <n v="1"/>
    <n v="31.4"/>
    <n v="31.4"/>
    <n v="0"/>
    <n v="31.4"/>
    <n v="7"/>
    <n v="41"/>
    <x v="1"/>
    <s v="Debit Card"/>
  </r>
  <r>
    <n v="100665"/>
    <x v="460"/>
    <s v="AD-6886-D"/>
    <s v="Ultraboost Light"/>
    <x v="1"/>
    <x v="0"/>
    <x v="0"/>
    <n v="2"/>
    <n v="302.95999999999998"/>
    <n v="151.47999999999999"/>
    <n v="0"/>
    <n v="302.95999999999998"/>
    <n v="94.41"/>
    <n v="23"/>
    <x v="1"/>
    <s v="Debit Card"/>
  </r>
  <r>
    <n v="100918"/>
    <x v="216"/>
    <s v="AD-4058-B"/>
    <s v="Stan Smith"/>
    <x v="1"/>
    <x v="4"/>
    <x v="2"/>
    <n v="3"/>
    <n v="220.56"/>
    <n v="73.52"/>
    <n v="0"/>
    <n v="220.56"/>
    <n v="53.82"/>
    <n v="18"/>
    <x v="0"/>
    <s v="Credit Card"/>
  </r>
  <r>
    <n v="100495"/>
    <x v="454"/>
    <s v="AD-7670-A"/>
    <s v="NMD_R1"/>
    <x v="1"/>
    <x v="1"/>
    <x v="0"/>
    <n v="4"/>
    <n v="491.4"/>
    <n v="122.85"/>
    <n v="0"/>
    <n v="491.4"/>
    <n v="152.88"/>
    <n v="26"/>
    <x v="1"/>
    <s v="PayPal"/>
  </r>
  <r>
    <n v="100338"/>
    <x v="160"/>
    <s v="AD-6051-D"/>
    <s v="Performance Socks (3-pack)"/>
    <x v="2"/>
    <x v="4"/>
    <x v="0"/>
    <n v="1"/>
    <n v="18.12"/>
    <n v="18.12"/>
    <n v="5"/>
    <n v="17.21"/>
    <n v="3.92"/>
    <n v="38"/>
    <x v="0"/>
    <s v="Google Pay"/>
  </r>
  <r>
    <n v="100963"/>
    <x v="168"/>
    <s v="AD-8060-B"/>
    <s v="Training Cap"/>
    <x v="2"/>
    <x v="4"/>
    <x v="1"/>
    <n v="3"/>
    <n v="69.84"/>
    <n v="23.28"/>
    <n v="10"/>
    <n v="62.86"/>
    <n v="23.53"/>
    <n v="25"/>
    <x v="1"/>
    <s v="NetBanking"/>
  </r>
  <r>
    <n v="100164"/>
    <x v="461"/>
    <s v="AD-8391-C"/>
    <s v="Copa Sense"/>
    <x v="1"/>
    <x v="2"/>
    <x v="0"/>
    <n v="1"/>
    <n v="168.43"/>
    <n v="168.43"/>
    <n v="40"/>
    <n v="101.06"/>
    <n v="40.479999999999997"/>
    <n v="16"/>
    <x v="1"/>
    <s v="UPI"/>
  </r>
  <r>
    <n v="100028"/>
    <x v="462"/>
    <s v="AD-1651-A"/>
    <s v="Superstar"/>
    <x v="1"/>
    <x v="4"/>
    <x v="0"/>
    <n v="5"/>
    <n v="462.65"/>
    <n v="92.53"/>
    <n v="0"/>
    <n v="462.65"/>
    <n v="134.03"/>
    <n v="34"/>
    <x v="0"/>
    <s v="UPI"/>
  </r>
  <r>
    <n v="100516"/>
    <x v="463"/>
    <s v="AD-5444-D"/>
    <s v="Z.N.E. Hoodie"/>
    <x v="0"/>
    <x v="1"/>
    <x v="0"/>
    <n v="2"/>
    <n v="257.2"/>
    <n v="128.6"/>
    <n v="20"/>
    <n v="205.76"/>
    <n v="49.82"/>
    <n v="32"/>
    <x v="1"/>
    <s v="Apple Pay"/>
  </r>
  <r>
    <n v="100193"/>
    <x v="263"/>
    <s v="AD-1674-A"/>
    <s v="Copa Sense"/>
    <x v="1"/>
    <x v="0"/>
    <x v="0"/>
    <n v="4"/>
    <n v="688.64"/>
    <n v="172.16"/>
    <n v="0"/>
    <n v="688.64"/>
    <n v="193.87"/>
    <n v="31"/>
    <x v="0"/>
    <s v="Cash"/>
  </r>
  <r>
    <n v="101103"/>
    <x v="464"/>
    <s v="AD-6304-C"/>
    <s v="Ultraboost 22"/>
    <x v="1"/>
    <x v="2"/>
    <x v="0"/>
    <n v="5"/>
    <n v="1000.25"/>
    <n v="200.05"/>
    <n v="0"/>
    <n v="1000.25"/>
    <n v="230.51"/>
    <n v="26"/>
    <x v="0"/>
    <s v="PayPal"/>
  </r>
  <r>
    <n v="100169"/>
    <x v="465"/>
    <s v="AD-9189-A"/>
    <s v="Stan Smith"/>
    <x v="1"/>
    <x v="1"/>
    <x v="1"/>
    <n v="2"/>
    <n v="158.66"/>
    <n v="79.33"/>
    <n v="10"/>
    <n v="142.79"/>
    <n v="45.82"/>
    <n v="33"/>
    <x v="1"/>
    <s v="Debit Card"/>
  </r>
  <r>
    <n v="101058"/>
    <x v="236"/>
    <s v="AD-6036-C"/>
    <s v="Superstar"/>
    <x v="1"/>
    <x v="1"/>
    <x v="1"/>
    <n v="4"/>
    <n v="353.36"/>
    <n v="88.34"/>
    <n v="20"/>
    <n v="282.69"/>
    <n v="73.42"/>
    <n v="29"/>
    <x v="1"/>
    <s v="PayPal"/>
  </r>
  <r>
    <n v="100173"/>
    <x v="174"/>
    <s v="AD-8612-D"/>
    <s v="Running Watch Strap"/>
    <x v="2"/>
    <x v="1"/>
    <x v="0"/>
    <n v="1"/>
    <n v="41.31"/>
    <n v="41.31"/>
    <n v="0"/>
    <n v="41.31"/>
    <n v="16.739999999999998"/>
    <n v="21"/>
    <x v="1"/>
    <s v="PayPal"/>
  </r>
  <r>
    <n v="100518"/>
    <x v="212"/>
    <s v="AD-2565-A"/>
    <s v="Essentials Tee"/>
    <x v="0"/>
    <x v="0"/>
    <x v="0"/>
    <n v="1"/>
    <n v="24.59"/>
    <n v="24.59"/>
    <n v="0"/>
    <n v="24.59"/>
    <n v="5.78"/>
    <n v="24"/>
    <x v="1"/>
    <s v="Debit Card"/>
  </r>
  <r>
    <n v="100968"/>
    <x v="466"/>
    <s v="AD-8753-C"/>
    <s v="Ultraboost 22"/>
    <x v="1"/>
    <x v="1"/>
    <x v="3"/>
    <n v="4"/>
    <n v="691"/>
    <n v="172.75"/>
    <n v="5"/>
    <n v="656.45"/>
    <n v="191.99"/>
    <n v="32"/>
    <x v="1"/>
    <s v="Google Pay"/>
  </r>
  <r>
    <n v="100701"/>
    <x v="467"/>
    <s v="AD-7824-B"/>
    <s v="Predator Freak"/>
    <x v="1"/>
    <x v="2"/>
    <x v="1"/>
    <n v="5"/>
    <n v="1232.3499999999999"/>
    <n v="246.47"/>
    <n v="5"/>
    <n v="1170.73"/>
    <n v="364.43"/>
    <n v="30"/>
    <x v="0"/>
    <s v="NetBanking"/>
  </r>
  <r>
    <n v="100491"/>
    <x v="468"/>
    <s v="AD-4190-A"/>
    <s v="Training Cap"/>
    <x v="2"/>
    <x v="4"/>
    <x v="1"/>
    <n v="5"/>
    <n v="122.8"/>
    <n v="24.56"/>
    <n v="5"/>
    <n v="116.66"/>
    <n v="47.27"/>
    <n v="42"/>
    <x v="0"/>
    <s v="NetBanking"/>
  </r>
  <r>
    <n v="100073"/>
    <x v="201"/>
    <s v="AD-4155-C"/>
    <s v="Sports Bottle"/>
    <x v="2"/>
    <x v="0"/>
    <x v="0"/>
    <n v="1"/>
    <n v="12.83"/>
    <n v="12.83"/>
    <n v="5"/>
    <n v="12.19"/>
    <n v="4.3099999999999996"/>
    <n v="45"/>
    <x v="1"/>
    <s v="Debit Card"/>
  </r>
  <r>
    <n v="100980"/>
    <x v="377"/>
    <s v="AD-4823-B"/>
    <s v="Z.N.E. Hoodie"/>
    <x v="0"/>
    <x v="0"/>
    <x v="1"/>
    <n v="3"/>
    <n v="319.74"/>
    <n v="106.58"/>
    <n v="5"/>
    <n v="303.75"/>
    <n v="106.97"/>
    <n v="42"/>
    <x v="1"/>
    <s v="Apple Pay"/>
  </r>
  <r>
    <n v="100587"/>
    <x v="469"/>
    <s v="AD-8558-B"/>
    <s v="Ultraboost Light"/>
    <x v="1"/>
    <x v="1"/>
    <x v="2"/>
    <n v="2"/>
    <n v="318.72000000000003"/>
    <n v="159.36000000000001"/>
    <n v="20"/>
    <n v="254.98"/>
    <n v="91.92"/>
    <n v="27"/>
    <x v="0"/>
    <s v="NetBanking"/>
  </r>
  <r>
    <n v="100234"/>
    <x v="329"/>
    <s v="AD-7887-C"/>
    <s v="Superstar"/>
    <x v="1"/>
    <x v="1"/>
    <x v="0"/>
    <n v="2"/>
    <n v="194.78"/>
    <n v="97.39"/>
    <n v="0"/>
    <n v="194.78"/>
    <n v="58.41"/>
    <n v="18"/>
    <x v="1"/>
    <s v="PayPal"/>
  </r>
  <r>
    <n v="100214"/>
    <x v="423"/>
    <s v="AD-9899-D"/>
    <s v="Training Cap"/>
    <x v="2"/>
    <x v="3"/>
    <x v="1"/>
    <n v="2"/>
    <n v="45.06"/>
    <n v="22.53"/>
    <n v="5"/>
    <n v="42.81"/>
    <n v="11.87"/>
    <n v="29"/>
    <x v="1"/>
    <s v="Debit Card"/>
  </r>
  <r>
    <n v="100946"/>
    <x v="470"/>
    <s v="AD-4644-D"/>
    <s v="Z.N.E. Hoodie"/>
    <x v="0"/>
    <x v="4"/>
    <x v="0"/>
    <n v="4"/>
    <n v="496.48"/>
    <n v="124.12"/>
    <n v="5"/>
    <n v="471.66"/>
    <n v="155.6"/>
    <n v="27"/>
    <x v="0"/>
    <s v="UPI"/>
  </r>
  <r>
    <n v="100132"/>
    <x v="149"/>
    <s v="AD-2697-B"/>
    <s v="Originals Backpack"/>
    <x v="2"/>
    <x v="0"/>
    <x v="3"/>
    <n v="2"/>
    <n v="113.7"/>
    <n v="56.85"/>
    <n v="0"/>
    <n v="113.7"/>
    <n v="30.06"/>
    <n v="16"/>
    <x v="0"/>
    <s v="Cash"/>
  </r>
  <r>
    <n v="101155"/>
    <x v="471"/>
    <s v="AD-9718-A"/>
    <s v="Stan Smith"/>
    <x v="1"/>
    <x v="4"/>
    <x v="0"/>
    <n v="2"/>
    <n v="157.52000000000001"/>
    <n v="78.760000000000005"/>
    <n v="20"/>
    <n v="126.02"/>
    <n v="38.71"/>
    <n v="36"/>
    <x v="1"/>
    <s v="Debit Card"/>
  </r>
  <r>
    <n v="100732"/>
    <x v="154"/>
    <s v="AD-6698-C"/>
    <s v="Adilette Slides"/>
    <x v="1"/>
    <x v="1"/>
    <x v="0"/>
    <n v="4"/>
    <n v="130.08000000000001"/>
    <n v="32.520000000000003"/>
    <n v="20"/>
    <n v="104.06"/>
    <n v="17.75"/>
    <n v="21"/>
    <x v="0"/>
    <s v="NetBanking"/>
  </r>
  <r>
    <n v="100940"/>
    <x v="472"/>
    <s v="AD-6440-B"/>
    <s v="Z.N.E. Hoodie"/>
    <x v="0"/>
    <x v="0"/>
    <x v="1"/>
    <n v="2"/>
    <n v="238.88"/>
    <n v="119.44"/>
    <n v="0"/>
    <n v="238.88"/>
    <n v="56.35"/>
    <n v="48"/>
    <x v="0"/>
    <s v="PayPal"/>
  </r>
  <r>
    <n v="100185"/>
    <x v="473"/>
    <s v="AD-3009-B"/>
    <s v="Performance Socks (3-pack)"/>
    <x v="2"/>
    <x v="0"/>
    <x v="1"/>
    <n v="3"/>
    <n v="56.429999999999993"/>
    <n v="18.809999999999999"/>
    <n v="20"/>
    <n v="45.14"/>
    <n v="13.47"/>
    <n v="16"/>
    <x v="2"/>
    <s v="UPI"/>
  </r>
  <r>
    <n v="100041"/>
    <x v="452"/>
    <s v="AD-1452-A"/>
    <s v="Superstar"/>
    <x v="1"/>
    <x v="4"/>
    <x v="1"/>
    <n v="1"/>
    <n v="103.28"/>
    <n v="103.28"/>
    <n v="0"/>
    <n v="103.28"/>
    <n v="39.04"/>
    <n v="31"/>
    <x v="1"/>
    <s v="Cash"/>
  </r>
  <r>
    <n v="100108"/>
    <x v="474"/>
    <s v="AD-5689-B"/>
    <s v="Running Watch Strap"/>
    <x v="2"/>
    <x v="0"/>
    <x v="3"/>
    <n v="3"/>
    <n v="118.85999999999999"/>
    <n v="39.619999999999997"/>
    <n v="0"/>
    <n v="118.86"/>
    <n v="40.17"/>
    <n v="33"/>
    <x v="0"/>
    <s v="Google Pay"/>
  </r>
  <r>
    <n v="100848"/>
    <x v="86"/>
    <s v="AD-5644-B"/>
    <s v="Ultraboost 22"/>
    <x v="1"/>
    <x v="4"/>
    <x v="1"/>
    <n v="5"/>
    <n v="996.94999999999993"/>
    <n v="199.39"/>
    <n v="0"/>
    <n v="996.95"/>
    <n v="236.22"/>
    <n v="29"/>
    <x v="1"/>
    <s v="NetBanking"/>
  </r>
  <r>
    <n v="100568"/>
    <x v="170"/>
    <s v="AD-4339-C"/>
    <s v="Stan Smith"/>
    <x v="1"/>
    <x v="1"/>
    <x v="0"/>
    <n v="2"/>
    <n v="178.3"/>
    <n v="89.15"/>
    <n v="5"/>
    <n v="169.38"/>
    <n v="52.14"/>
    <n v="35"/>
    <x v="0"/>
    <s v="UPI"/>
  </r>
  <r>
    <n v="100650"/>
    <x v="475"/>
    <s v="AD-7258-C"/>
    <s v="Primegreen Jacket"/>
    <x v="0"/>
    <x v="4"/>
    <x v="2"/>
    <n v="1"/>
    <n v="138.97999999999999"/>
    <n v="138.97999999999999"/>
    <n v="5"/>
    <n v="132.03"/>
    <n v="36.33"/>
    <n v="16"/>
    <x v="1"/>
    <s v="Google Pay"/>
  </r>
  <r>
    <n v="101000"/>
    <x v="364"/>
    <s v="AD-3110-B"/>
    <s v="NMD_R1"/>
    <x v="1"/>
    <x v="4"/>
    <x v="0"/>
    <n v="3"/>
    <n v="382.14"/>
    <n v="127.38"/>
    <n v="0"/>
    <n v="382.14"/>
    <n v="91.64"/>
    <n v="27"/>
    <x v="1"/>
    <s v="Credit Card"/>
  </r>
  <r>
    <n v="101165"/>
    <x v="218"/>
    <s v="AD-4175-D"/>
    <s v="Ultraboost 22"/>
    <x v="1"/>
    <x v="0"/>
    <x v="3"/>
    <n v="3"/>
    <n v="511.5"/>
    <n v="170.5"/>
    <n v="20"/>
    <n v="409.2"/>
    <n v="112.45"/>
    <n v="34"/>
    <x v="1"/>
    <s v="Debit Card"/>
  </r>
  <r>
    <n v="100483"/>
    <x v="201"/>
    <s v="AD-5223-B"/>
    <s v="Predator Freak"/>
    <x v="1"/>
    <x v="0"/>
    <x v="2"/>
    <n v="4"/>
    <n v="889.28"/>
    <n v="222.32"/>
    <n v="40"/>
    <n v="533.57000000000005"/>
    <n v="153.69999999999999"/>
    <n v="41"/>
    <x v="1"/>
    <s v="Apple Pay"/>
  </r>
  <r>
    <n v="100468"/>
    <x v="476"/>
    <s v="AD-6878-A"/>
    <s v="Copa Sense"/>
    <x v="1"/>
    <x v="3"/>
    <x v="1"/>
    <n v="2"/>
    <n v="287.83999999999997"/>
    <n v="143.91999999999999"/>
    <n v="20"/>
    <n v="230.27"/>
    <n v="78.44"/>
    <n v="36"/>
    <x v="0"/>
    <s v="Google Pay"/>
  </r>
  <r>
    <n v="100024"/>
    <x v="228"/>
    <s v="AD-7570-A"/>
    <s v="Superstar"/>
    <x v="1"/>
    <x v="2"/>
    <x v="0"/>
    <n v="3"/>
    <n v="264.93"/>
    <n v="88.31"/>
    <n v="0"/>
    <n v="264.93"/>
    <n v="80.5"/>
    <n v="30"/>
    <x v="1"/>
    <s v="UPI"/>
  </r>
  <r>
    <n v="100660"/>
    <x v="477"/>
    <s v="AD-3438-A"/>
    <s v="Superstar"/>
    <x v="1"/>
    <x v="0"/>
    <x v="1"/>
    <n v="3"/>
    <n v="282.63"/>
    <n v="94.21"/>
    <n v="10"/>
    <n v="254.37"/>
    <n v="60.55"/>
    <n v="39"/>
    <x v="1"/>
    <s v="Google Pay"/>
  </r>
  <r>
    <n v="100679"/>
    <x v="478"/>
    <s v="AD-9151-B"/>
    <s v="Ultraboost Light"/>
    <x v="1"/>
    <x v="0"/>
    <x v="1"/>
    <n v="2"/>
    <n v="310.98"/>
    <n v="155.49"/>
    <n v="20"/>
    <n v="248.78"/>
    <n v="62.32"/>
    <n v="29"/>
    <x v="0"/>
    <s v="Google Pay"/>
  </r>
  <r>
    <n v="100752"/>
    <x v="365"/>
    <s v="AD-9821-C"/>
    <s v="Superstar"/>
    <x v="1"/>
    <x v="4"/>
    <x v="0"/>
    <n v="1"/>
    <n v="91.04"/>
    <n v="91.04"/>
    <n v="0"/>
    <n v="91.04"/>
    <n v="20.12"/>
    <n v="47"/>
    <x v="1"/>
    <s v="Credit Card"/>
  </r>
  <r>
    <n v="100993"/>
    <x v="479"/>
    <s v="AD-2922-C"/>
    <s v="Copa Sense"/>
    <x v="1"/>
    <x v="4"/>
    <x v="3"/>
    <n v="3"/>
    <n v="466.68"/>
    <n v="155.56"/>
    <n v="0"/>
    <n v="466.68"/>
    <n v="133.65"/>
    <n v="39"/>
    <x v="1"/>
    <s v="Credit Card"/>
  </r>
  <r>
    <n v="100366"/>
    <x v="131"/>
    <s v="AD-1062-D"/>
    <s v="Stan Smith"/>
    <x v="1"/>
    <x v="0"/>
    <x v="2"/>
    <n v="3"/>
    <n v="241.41"/>
    <n v="80.47"/>
    <n v="10"/>
    <n v="217.27"/>
    <n v="74.67"/>
    <n v="33"/>
    <x v="1"/>
    <s v="Cash"/>
  </r>
  <r>
    <n v="100839"/>
    <x v="129"/>
    <s v="AD-3028-A"/>
    <s v="Originals Backpack"/>
    <x v="2"/>
    <x v="4"/>
    <x v="0"/>
    <n v="3"/>
    <n v="186.48"/>
    <n v="62.16"/>
    <n v="0"/>
    <n v="186.48"/>
    <n v="45.95"/>
    <n v="32"/>
    <x v="1"/>
    <s v="Cash"/>
  </r>
  <r>
    <n v="101052"/>
    <x v="480"/>
    <s v="AD-3550-D"/>
    <s v="NMD_R1"/>
    <x v="1"/>
    <x v="0"/>
    <x v="0"/>
    <n v="3"/>
    <n v="387.36"/>
    <n v="129.12"/>
    <n v="0"/>
    <n v="387.36"/>
    <n v="119.57"/>
    <n v="43"/>
    <x v="1"/>
    <s v="Apple Pay"/>
  </r>
  <r>
    <n v="100383"/>
    <x v="413"/>
    <s v="AD-6904-B"/>
    <s v="Adilette Slides"/>
    <x v="1"/>
    <x v="4"/>
    <x v="0"/>
    <n v="3"/>
    <n v="112.47"/>
    <n v="37.49"/>
    <n v="0"/>
    <n v="112.47"/>
    <n v="30.79"/>
    <n v="31"/>
    <x v="1"/>
    <s v="Credit Card"/>
  </r>
  <r>
    <n v="100454"/>
    <x v="481"/>
    <s v="AD-7249-D"/>
    <s v="Gym Bag"/>
    <x v="2"/>
    <x v="0"/>
    <x v="0"/>
    <n v="2"/>
    <n v="93.98"/>
    <n v="46.99"/>
    <n v="10"/>
    <n v="84.58"/>
    <n v="29.93"/>
    <n v="38"/>
    <x v="1"/>
    <s v="Google Pay"/>
  </r>
  <r>
    <n v="100264"/>
    <x v="303"/>
    <s v="AD-6347-A"/>
    <s v="Training Shorts"/>
    <x v="0"/>
    <x v="1"/>
    <x v="2"/>
    <n v="2"/>
    <n v="56.14"/>
    <n v="28.07"/>
    <n v="10"/>
    <n v="50.53"/>
    <n v="18.09"/>
    <n v="35"/>
    <x v="1"/>
    <s v="Apple Pay"/>
  </r>
  <r>
    <n v="100760"/>
    <x v="482"/>
    <s v="AD-7721-C"/>
    <s v="Performance Socks (3-pack)"/>
    <x v="2"/>
    <x v="4"/>
    <x v="1"/>
    <n v="2"/>
    <n v="38.200000000000003"/>
    <n v="19.100000000000001"/>
    <n v="10"/>
    <n v="34.380000000000003"/>
    <n v="14.06"/>
    <n v="28"/>
    <x v="1"/>
    <s v="Apple Pay"/>
  </r>
  <r>
    <n v="100979"/>
    <x v="420"/>
    <s v="AD-4666-A"/>
    <s v="Stan Smith"/>
    <x v="1"/>
    <x v="2"/>
    <x v="1"/>
    <n v="4"/>
    <n v="366.04"/>
    <n v="91.51"/>
    <n v="0"/>
    <n v="366.04"/>
    <n v="115.45"/>
    <n v="46"/>
    <x v="1"/>
    <s v="Cash"/>
  </r>
  <r>
    <n v="100444"/>
    <x v="483"/>
    <s v="AD-9037-C"/>
    <s v="Predator Freak"/>
    <x v="1"/>
    <x v="2"/>
    <x v="1"/>
    <n v="1"/>
    <n v="200.35"/>
    <n v="200.35"/>
    <n v="10"/>
    <n v="180.31"/>
    <n v="65.23"/>
    <n v="34"/>
    <x v="0"/>
    <s v="NetBanking"/>
  </r>
  <r>
    <n v="100395"/>
    <x v="151"/>
    <s v="AD-5237-B"/>
    <s v="Copa Sense"/>
    <x v="1"/>
    <x v="2"/>
    <x v="0"/>
    <n v="2"/>
    <n v="335.44"/>
    <n v="167.72"/>
    <n v="0"/>
    <n v="335.44"/>
    <n v="101.32"/>
    <n v="21"/>
    <x v="1"/>
    <s v="PayPal"/>
  </r>
  <r>
    <n v="100741"/>
    <x v="311"/>
    <s v="AD-9177-C"/>
    <s v="Adilette Slides"/>
    <x v="1"/>
    <x v="0"/>
    <x v="3"/>
    <n v="3"/>
    <n v="108.06"/>
    <n v="36.020000000000003"/>
    <n v="5"/>
    <n v="102.66"/>
    <n v="24.89"/>
    <n v="32"/>
    <x v="1"/>
    <s v="Apple Pay"/>
  </r>
  <r>
    <n v="100176"/>
    <x v="484"/>
    <s v="AD-3039-C"/>
    <s v="Adilette Slides"/>
    <x v="1"/>
    <x v="2"/>
    <x v="0"/>
    <n v="3"/>
    <n v="100.35000000000001"/>
    <n v="33.450000000000003"/>
    <n v="5"/>
    <n v="95.33"/>
    <n v="37.57"/>
    <n v="20"/>
    <x v="0"/>
    <s v="NetBanking"/>
  </r>
  <r>
    <n v="100018"/>
    <x v="485"/>
    <s v="AD-1964-B"/>
    <s v="Superstar"/>
    <x v="1"/>
    <x v="0"/>
    <x v="0"/>
    <n v="1"/>
    <n v="97.25"/>
    <n v="97.25"/>
    <n v="5"/>
    <n v="92.39"/>
    <n v="28.92"/>
    <n v="16"/>
    <x v="1"/>
    <s v="Debit Card"/>
  </r>
  <r>
    <n v="100948"/>
    <x v="486"/>
    <s v="AD-4871-A"/>
    <s v="Adilette Slides"/>
    <x v="1"/>
    <x v="4"/>
    <x v="1"/>
    <n v="4"/>
    <n v="125.76"/>
    <n v="31.44"/>
    <n v="10"/>
    <n v="113.18"/>
    <n v="31.47"/>
    <n v="32"/>
    <x v="0"/>
    <s v="UPI"/>
  </r>
  <r>
    <n v="100814"/>
    <x v="405"/>
    <s v="AD-8947-D"/>
    <s v="Performance Socks (3-pack)"/>
    <x v="2"/>
    <x v="1"/>
    <x v="0"/>
    <n v="3"/>
    <n v="49.949999999999996"/>
    <n v="16.649999999999999"/>
    <n v="10"/>
    <n v="44.95"/>
    <n v="13.07"/>
    <n v="21"/>
    <x v="0"/>
    <s v="Google Pay"/>
  </r>
  <r>
    <n v="100595"/>
    <x v="487"/>
    <s v="AD-5009-C"/>
    <s v="Running Watch Strap"/>
    <x v="2"/>
    <x v="1"/>
    <x v="0"/>
    <n v="4"/>
    <n v="166.6"/>
    <n v="41.65"/>
    <n v="0"/>
    <n v="166.6"/>
    <n v="45.88"/>
    <n v="40"/>
    <x v="0"/>
    <s v="Credit Card"/>
  </r>
  <r>
    <n v="100061"/>
    <x v="245"/>
    <s v="AD-2124-A"/>
    <s v="Superstar"/>
    <x v="1"/>
    <x v="0"/>
    <x v="0"/>
    <n v="4"/>
    <n v="343.64"/>
    <n v="85.91"/>
    <n v="5"/>
    <n v="326.45999999999998"/>
    <n v="86.53"/>
    <n v="29"/>
    <x v="0"/>
    <s v="UPI"/>
  </r>
  <r>
    <n v="100272"/>
    <x v="392"/>
    <s v="AD-4203-D"/>
    <s v="Tiro 23 Track Pants"/>
    <x v="0"/>
    <x v="4"/>
    <x v="0"/>
    <n v="5"/>
    <n v="269.54999999999995"/>
    <n v="53.91"/>
    <n v="5"/>
    <n v="256.07"/>
    <n v="96.4"/>
    <n v="32"/>
    <x v="1"/>
    <s v="Google Pay"/>
  </r>
  <r>
    <n v="101125"/>
    <x v="272"/>
    <s v="AD-9548-C"/>
    <s v="Z.N.E. Hoodie"/>
    <x v="0"/>
    <x v="1"/>
    <x v="1"/>
    <n v="2"/>
    <n v="261.95999999999998"/>
    <n v="130.97999999999999"/>
    <n v="0"/>
    <n v="261.95999999999998"/>
    <n v="50.79"/>
    <n v="25"/>
    <x v="1"/>
    <s v="PayPal"/>
  </r>
  <r>
    <n v="100278"/>
    <x v="89"/>
    <s v="AD-8357-D"/>
    <s v="Tiro 23 Track Pants"/>
    <x v="0"/>
    <x v="0"/>
    <x v="1"/>
    <n v="3"/>
    <n v="168.45"/>
    <n v="56.15"/>
    <n v="20"/>
    <n v="134.76"/>
    <n v="26.41"/>
    <n v="39"/>
    <x v="0"/>
    <s v="Debit Card"/>
  </r>
  <r>
    <n v="100841"/>
    <x v="488"/>
    <s v="AD-9514-B"/>
    <s v="Tiro 23 Track Pants"/>
    <x v="0"/>
    <x v="0"/>
    <x v="1"/>
    <n v="3"/>
    <n v="157.38"/>
    <n v="52.46"/>
    <n v="5"/>
    <n v="149.51"/>
    <n v="30.77"/>
    <n v="35"/>
    <x v="0"/>
    <s v="Apple Pay"/>
  </r>
  <r>
    <n v="100368"/>
    <x v="489"/>
    <s v="AD-2493-D"/>
    <s v="Superstar"/>
    <x v="1"/>
    <x v="4"/>
    <x v="1"/>
    <n v="4"/>
    <n v="361.88"/>
    <n v="90.47"/>
    <n v="5"/>
    <n v="343.79"/>
    <n v="126.76"/>
    <n v="29"/>
    <x v="1"/>
    <s v="NetBanking"/>
  </r>
  <r>
    <n v="100886"/>
    <x v="490"/>
    <s v="AD-8439-C"/>
    <s v="Originals Backpack"/>
    <x v="2"/>
    <x v="0"/>
    <x v="0"/>
    <n v="6"/>
    <n v="320.70000000000005"/>
    <n v="53.45"/>
    <n v="0"/>
    <n v="320.7"/>
    <n v="121.58"/>
    <n v="31"/>
    <x v="0"/>
    <s v="Credit Card"/>
  </r>
  <r>
    <n v="101014"/>
    <x v="491"/>
    <s v="AD-8678-C"/>
    <s v="Adicolor Hoodie"/>
    <x v="0"/>
    <x v="1"/>
    <x v="1"/>
    <n v="2"/>
    <n v="149.84"/>
    <n v="74.92"/>
    <n v="0"/>
    <n v="149.84"/>
    <n v="35.03"/>
    <n v="35"/>
    <x v="1"/>
    <s v="Cash"/>
  </r>
  <r>
    <n v="100859"/>
    <x v="492"/>
    <s v="AD-1849-B"/>
    <s v="Primegreen Jacket"/>
    <x v="0"/>
    <x v="4"/>
    <x v="2"/>
    <n v="1"/>
    <n v="149.31"/>
    <n v="149.31"/>
    <n v="10"/>
    <n v="134.38"/>
    <n v="43.48"/>
    <n v="31"/>
    <x v="1"/>
    <s v="Debit Card"/>
  </r>
  <r>
    <n v="100720"/>
    <x v="32"/>
    <s v="AD-9078-A"/>
    <s v="Copa Sense"/>
    <x v="1"/>
    <x v="0"/>
    <x v="0"/>
    <n v="1"/>
    <n v="145.79"/>
    <n v="145.79"/>
    <n v="5"/>
    <n v="138.5"/>
    <n v="49.49"/>
    <n v="18"/>
    <x v="1"/>
    <s v="NetBanking"/>
  </r>
  <r>
    <n v="100825"/>
    <x v="493"/>
    <s v="AD-9444-A"/>
    <s v="Z.N.E. Hoodie"/>
    <x v="0"/>
    <x v="0"/>
    <x v="1"/>
    <n v="2"/>
    <n v="260.58"/>
    <n v="130.29"/>
    <n v="0"/>
    <n v="260.58"/>
    <n v="71.010000000000005"/>
    <n v="36"/>
    <x v="0"/>
    <s v="PayPal"/>
  </r>
  <r>
    <n v="100547"/>
    <x v="63"/>
    <s v="AD-7814-C"/>
    <s v="Training Cap"/>
    <x v="2"/>
    <x v="2"/>
    <x v="1"/>
    <n v="2"/>
    <n v="40.54"/>
    <n v="20.27"/>
    <n v="0"/>
    <n v="40.54"/>
    <n v="16.190000000000001"/>
    <n v="38"/>
    <x v="0"/>
    <s v="Cash"/>
  </r>
  <r>
    <n v="100879"/>
    <x v="494"/>
    <s v="AD-4696-D"/>
    <s v="Originals Backpack"/>
    <x v="2"/>
    <x v="1"/>
    <x v="0"/>
    <n v="3"/>
    <n v="181.77"/>
    <n v="60.59"/>
    <n v="0"/>
    <n v="181.77"/>
    <n v="68.459999999999994"/>
    <n v="34"/>
    <x v="1"/>
    <s v="Credit Card"/>
  </r>
  <r>
    <n v="100899"/>
    <x v="495"/>
    <s v="AD-2071-A"/>
    <s v="Performance Socks (3-pack)"/>
    <x v="2"/>
    <x v="0"/>
    <x v="1"/>
    <n v="3"/>
    <n v="52.199999999999996"/>
    <n v="17.399999999999999"/>
    <n v="20"/>
    <n v="41.76"/>
    <n v="12.74"/>
    <n v="33"/>
    <x v="0"/>
    <s v="Apple Pay"/>
  </r>
  <r>
    <n v="100456"/>
    <x v="496"/>
    <s v="AD-1082-D"/>
    <s v="Training Shorts"/>
    <x v="0"/>
    <x v="4"/>
    <x v="2"/>
    <n v="3"/>
    <n v="94.11"/>
    <n v="31.37"/>
    <n v="0"/>
    <n v="94.11"/>
    <n v="26"/>
    <n v="23"/>
    <x v="1"/>
    <s v="Credit Card"/>
  </r>
  <r>
    <n v="100393"/>
    <x v="63"/>
    <s v="AD-4111-C"/>
    <s v="Training Cap"/>
    <x v="2"/>
    <x v="4"/>
    <x v="0"/>
    <n v="3"/>
    <n v="67.92"/>
    <n v="22.64"/>
    <n v="0"/>
    <n v="67.92"/>
    <n v="24.2"/>
    <n v="22"/>
    <x v="1"/>
    <s v="Credit Card"/>
  </r>
  <r>
    <n v="100675"/>
    <x v="497"/>
    <s v="AD-7819-D"/>
    <s v="Training Cap"/>
    <x v="2"/>
    <x v="4"/>
    <x v="3"/>
    <n v="4"/>
    <n v="89.32"/>
    <n v="22.33"/>
    <n v="10"/>
    <n v="80.39"/>
    <n v="25.99"/>
    <n v="33"/>
    <x v="0"/>
    <s v="NetBanking"/>
  </r>
  <r>
    <n v="100911"/>
    <x v="474"/>
    <s v="AD-8733-B"/>
    <s v="Tiro 23 Track Pants"/>
    <x v="0"/>
    <x v="1"/>
    <x v="3"/>
    <n v="4"/>
    <n v="222.64"/>
    <n v="55.66"/>
    <n v="5"/>
    <n v="211.51"/>
    <n v="53.47"/>
    <n v="26"/>
    <x v="0"/>
    <s v="Credit Card"/>
  </r>
  <r>
    <n v="100964"/>
    <x v="498"/>
    <s v="AD-8383-B"/>
    <s v="Training Shorts"/>
    <x v="0"/>
    <x v="4"/>
    <x v="1"/>
    <n v="5"/>
    <n v="144.9"/>
    <n v="28.98"/>
    <n v="20"/>
    <n v="115.92"/>
    <n v="39.82"/>
    <n v="29"/>
    <x v="1"/>
    <s v="Debit Card"/>
  </r>
  <r>
    <n v="100375"/>
    <x v="54"/>
    <s v="AD-2843-D"/>
    <s v="Essentials Tee"/>
    <x v="0"/>
    <x v="2"/>
    <x v="0"/>
    <n v="3"/>
    <n v="74.849999999999994"/>
    <n v="24.95"/>
    <n v="0"/>
    <n v="74.849999999999994"/>
    <n v="17.399999999999999"/>
    <n v="27"/>
    <x v="0"/>
    <s v="Apple Pay"/>
  </r>
  <r>
    <n v="100412"/>
    <x v="499"/>
    <s v="AD-9383-A"/>
    <s v="Superstar"/>
    <x v="1"/>
    <x v="2"/>
    <x v="1"/>
    <n v="5"/>
    <n v="458.7"/>
    <n v="91.74"/>
    <n v="0"/>
    <n v="458.7"/>
    <n v="151.11000000000001"/>
    <n v="30"/>
    <x v="1"/>
    <s v="Debit Card"/>
  </r>
  <r>
    <n v="100074"/>
    <x v="6"/>
    <s v="AD-9595-C"/>
    <s v="Sports Bottle"/>
    <x v="2"/>
    <x v="0"/>
    <x v="0"/>
    <n v="2"/>
    <n v="32.28"/>
    <n v="16.14"/>
    <n v="0"/>
    <n v="32.28"/>
    <n v="9.35"/>
    <n v="19"/>
    <x v="0"/>
    <s v="NetBanking"/>
  </r>
  <r>
    <n v="101121"/>
    <x v="178"/>
    <s v="AD-2817-D"/>
    <s v="Superstar"/>
    <x v="1"/>
    <x v="0"/>
    <x v="1"/>
    <n v="5"/>
    <n v="429.35"/>
    <n v="85.87"/>
    <n v="0"/>
    <n v="429.35"/>
    <n v="171.55"/>
    <n v="33"/>
    <x v="0"/>
    <s v="Debit Card"/>
  </r>
  <r>
    <n v="100862"/>
    <x v="109"/>
    <s v="AD-3332-C"/>
    <s v="Sports Bottle"/>
    <x v="2"/>
    <x v="4"/>
    <x v="1"/>
    <n v="6"/>
    <n v="89.94"/>
    <n v="14.99"/>
    <n v="0"/>
    <n v="89.94"/>
    <n v="30.68"/>
    <n v="43"/>
    <x v="1"/>
    <s v="UPI"/>
  </r>
  <r>
    <n v="100500"/>
    <x v="500"/>
    <s v="AD-3994-B"/>
    <s v="Sports Bottle"/>
    <x v="2"/>
    <x v="1"/>
    <x v="0"/>
    <n v="2"/>
    <n v="28.9"/>
    <n v="14.45"/>
    <n v="0"/>
    <n v="28.9"/>
    <n v="9.4"/>
    <n v="27"/>
    <x v="0"/>
    <s v="NetBanking"/>
  </r>
  <r>
    <n v="100941"/>
    <x v="289"/>
    <s v="AD-7264-B"/>
    <s v="Z.N.E. Hoodie"/>
    <x v="0"/>
    <x v="0"/>
    <x v="0"/>
    <n v="2"/>
    <n v="216.3"/>
    <n v="108.15"/>
    <n v="0"/>
    <n v="216.3"/>
    <n v="77.28"/>
    <n v="30"/>
    <x v="1"/>
    <s v="Google Pay"/>
  </r>
  <r>
    <n v="100616"/>
    <x v="458"/>
    <s v="AD-4438-C"/>
    <s v="Ultraboost Light"/>
    <x v="1"/>
    <x v="0"/>
    <x v="1"/>
    <n v="6"/>
    <n v="897.72"/>
    <n v="149.62"/>
    <n v="10"/>
    <n v="807.95"/>
    <n v="253.48"/>
    <n v="23"/>
    <x v="1"/>
    <s v="NetBanking"/>
  </r>
  <r>
    <n v="100114"/>
    <x v="159"/>
    <s v="AD-7086-A"/>
    <s v="Essentials Tee"/>
    <x v="0"/>
    <x v="1"/>
    <x v="1"/>
    <n v="4"/>
    <n v="112.08"/>
    <n v="28.02"/>
    <n v="0"/>
    <n v="112.08"/>
    <n v="34.090000000000003"/>
    <n v="40"/>
    <x v="0"/>
    <s v="Apple Pay"/>
  </r>
  <r>
    <n v="100417"/>
    <x v="501"/>
    <s v="AD-2699-D"/>
    <s v="Copa Sense"/>
    <x v="1"/>
    <x v="0"/>
    <x v="0"/>
    <n v="2"/>
    <n v="329.1"/>
    <n v="164.55"/>
    <n v="10"/>
    <n v="296.19"/>
    <n v="70.34"/>
    <n v="34"/>
    <x v="0"/>
    <s v="PayPal"/>
  </r>
  <r>
    <n v="100601"/>
    <x v="331"/>
    <s v="AD-7996-C"/>
    <s v="Running Watch Strap"/>
    <x v="2"/>
    <x v="0"/>
    <x v="3"/>
    <n v="3"/>
    <n v="124.32"/>
    <n v="41.44"/>
    <n v="0"/>
    <n v="124.32"/>
    <n v="55.15"/>
    <n v="37"/>
    <x v="1"/>
    <s v="NetBanking"/>
  </r>
  <r>
    <n v="100604"/>
    <x v="502"/>
    <s v="AD-6468-C"/>
    <s v="Stan Smith"/>
    <x v="1"/>
    <x v="4"/>
    <x v="1"/>
    <n v="4"/>
    <n v="332.2"/>
    <n v="83.05"/>
    <n v="0"/>
    <n v="332.2"/>
    <n v="64.53"/>
    <n v="28"/>
    <x v="1"/>
    <s v="Credit Card"/>
  </r>
  <r>
    <n v="100089"/>
    <x v="503"/>
    <s v="AD-2899-D"/>
    <s v="Primegreen Jacket"/>
    <x v="0"/>
    <x v="0"/>
    <x v="1"/>
    <n v="1"/>
    <n v="153.49"/>
    <n v="153.49"/>
    <n v="0"/>
    <n v="153.49"/>
    <n v="41.94"/>
    <n v="28"/>
    <x v="1"/>
    <s v="Cash"/>
  </r>
  <r>
    <n v="101148"/>
    <x v="504"/>
    <s v="AD-8438-B"/>
    <s v="Adilette Slides"/>
    <x v="1"/>
    <x v="0"/>
    <x v="1"/>
    <n v="3"/>
    <n v="107.55000000000001"/>
    <n v="35.85"/>
    <n v="0"/>
    <n v="107.55"/>
    <n v="29.32"/>
    <n v="20"/>
    <x v="1"/>
    <s v="NetBanking"/>
  </r>
  <r>
    <n v="100498"/>
    <x v="505"/>
    <s v="AD-6172-D"/>
    <s v="Stan Smith"/>
    <x v="1"/>
    <x v="1"/>
    <x v="1"/>
    <n v="4"/>
    <n v="352.6"/>
    <n v="88.15"/>
    <n v="40"/>
    <n v="211.56"/>
    <n v="49.01"/>
    <n v="24"/>
    <x v="1"/>
    <s v="UPI"/>
  </r>
  <r>
    <n v="100875"/>
    <x v="140"/>
    <s v="AD-2070-B"/>
    <s v="Sports Bottle"/>
    <x v="2"/>
    <x v="0"/>
    <x v="1"/>
    <n v="1"/>
    <n v="15.3"/>
    <n v="15.3"/>
    <n v="20"/>
    <n v="12.24"/>
    <n v="3.03"/>
    <n v="23"/>
    <x v="0"/>
    <s v="PayPal"/>
  </r>
  <r>
    <n v="100926"/>
    <x v="506"/>
    <s v="AD-2093-B"/>
    <s v="Ultraboost Light"/>
    <x v="1"/>
    <x v="2"/>
    <x v="0"/>
    <n v="3"/>
    <n v="485.37"/>
    <n v="161.79"/>
    <n v="20"/>
    <n v="388.3"/>
    <n v="89.31"/>
    <n v="47"/>
    <x v="0"/>
    <s v="NetBanking"/>
  </r>
  <r>
    <n v="100998"/>
    <x v="507"/>
    <s v="AD-7451-D"/>
    <s v="Z.N.E. Hoodie"/>
    <x v="0"/>
    <x v="2"/>
    <x v="1"/>
    <n v="2"/>
    <n v="225.18"/>
    <n v="112.59"/>
    <n v="10"/>
    <n v="202.66"/>
    <n v="50.69"/>
    <n v="27"/>
    <x v="1"/>
    <s v="Credit Card"/>
  </r>
  <r>
    <n v="100011"/>
    <x v="121"/>
    <s v="AD-2876-C"/>
    <s v="Primegreen Jacket"/>
    <x v="0"/>
    <x v="1"/>
    <x v="0"/>
    <n v="3"/>
    <n v="449.82"/>
    <n v="149.94"/>
    <n v="0"/>
    <n v="449.82"/>
    <n v="103.3"/>
    <n v="27"/>
    <x v="0"/>
    <s v="Credit Card"/>
  </r>
  <r>
    <n v="100396"/>
    <x v="424"/>
    <s v="AD-6428-C"/>
    <s v="Z.N.E. Hoodie"/>
    <x v="0"/>
    <x v="4"/>
    <x v="0"/>
    <n v="1"/>
    <n v="127.11"/>
    <n v="127.11"/>
    <n v="0"/>
    <n v="127.11"/>
    <n v="31.68"/>
    <n v="17"/>
    <x v="0"/>
    <s v="Apple Pay"/>
  </r>
  <r>
    <n v="100754"/>
    <x v="423"/>
    <s v="AD-6504-D"/>
    <s v="Primegreen Jacket"/>
    <x v="0"/>
    <x v="1"/>
    <x v="0"/>
    <n v="6"/>
    <n v="854.64"/>
    <n v="142.44"/>
    <n v="0"/>
    <n v="854.64"/>
    <n v="222.55"/>
    <n v="24"/>
    <x v="1"/>
    <s v="UPI"/>
  </r>
  <r>
    <n v="100555"/>
    <x v="508"/>
    <s v="AD-1618-D"/>
    <s v="Essentials Tee"/>
    <x v="0"/>
    <x v="1"/>
    <x v="1"/>
    <n v="1"/>
    <n v="24.52"/>
    <n v="24.52"/>
    <n v="0"/>
    <n v="24.52"/>
    <n v="8.2100000000000009"/>
    <n v="30"/>
    <x v="0"/>
    <s v="Debit Card"/>
  </r>
  <r>
    <n v="100042"/>
    <x v="509"/>
    <s v="AD-6663-C"/>
    <s v="Essentials Tee"/>
    <x v="0"/>
    <x v="3"/>
    <x v="0"/>
    <n v="1"/>
    <n v="26.1"/>
    <n v="26.1"/>
    <n v="20"/>
    <n v="20.88"/>
    <n v="4.25"/>
    <n v="30"/>
    <x v="1"/>
    <s v="Apple Pay"/>
  </r>
  <r>
    <n v="100167"/>
    <x v="510"/>
    <s v="AD-2298-A"/>
    <s v="Training Cap"/>
    <x v="2"/>
    <x v="4"/>
    <x v="1"/>
    <n v="4"/>
    <n v="101"/>
    <n v="25.25"/>
    <n v="0"/>
    <n v="101"/>
    <n v="39.130000000000003"/>
    <n v="34"/>
    <x v="1"/>
    <s v="Credit Card"/>
  </r>
  <r>
    <n v="100416"/>
    <x v="511"/>
    <s v="AD-8835-D"/>
    <s v="Z.N.E. Hoodie"/>
    <x v="0"/>
    <x v="1"/>
    <x v="3"/>
    <n v="2"/>
    <n v="253.82"/>
    <n v="126.91"/>
    <n v="20"/>
    <n v="203.06"/>
    <n v="41.1"/>
    <n v="41"/>
    <x v="1"/>
    <s v="Apple Pay"/>
  </r>
  <r>
    <n v="100576"/>
    <x v="512"/>
    <s v="AD-7837-B"/>
    <s v="Primegreen Jacket"/>
    <x v="0"/>
    <x v="4"/>
    <x v="0"/>
    <n v="3"/>
    <n v="354.45000000000005"/>
    <n v="118.15"/>
    <n v="0"/>
    <n v="354.45"/>
    <n v="102.3"/>
    <n v="42"/>
    <x v="0"/>
    <s v="UPI"/>
  </r>
  <r>
    <n v="100267"/>
    <x v="266"/>
    <s v="AD-2499-A"/>
    <s v="Primegreen Jacket"/>
    <x v="0"/>
    <x v="0"/>
    <x v="1"/>
    <n v="3"/>
    <n v="394.56000000000006"/>
    <n v="131.52000000000001"/>
    <n v="0"/>
    <n v="394.56"/>
    <n v="117.13"/>
    <n v="22"/>
    <x v="1"/>
    <s v="Debit Card"/>
  </r>
  <r>
    <n v="100807"/>
    <x v="323"/>
    <s v="AD-9248-A"/>
    <s v="Stan Smith"/>
    <x v="1"/>
    <x v="0"/>
    <x v="2"/>
    <n v="4"/>
    <n v="338.16"/>
    <n v="84.54"/>
    <n v="5"/>
    <n v="321.25"/>
    <n v="78.11"/>
    <n v="22"/>
    <x v="1"/>
    <s v="Debit Card"/>
  </r>
  <r>
    <n v="100426"/>
    <x v="513"/>
    <s v="AD-6952-D"/>
    <s v="Ultraboost Light"/>
    <x v="1"/>
    <x v="2"/>
    <x v="0"/>
    <n v="4"/>
    <n v="620.96"/>
    <n v="155.24"/>
    <n v="0"/>
    <n v="620.96"/>
    <n v="198.84"/>
    <n v="16"/>
    <x v="0"/>
    <s v="Google Pay"/>
  </r>
  <r>
    <n v="100690"/>
    <x v="514"/>
    <s v="AD-8412-D"/>
    <s v="Training Cap"/>
    <x v="2"/>
    <x v="1"/>
    <x v="0"/>
    <n v="3"/>
    <n v="58.679999999999993"/>
    <n v="19.559999999999999"/>
    <n v="0"/>
    <n v="58.68"/>
    <n v="22.62"/>
    <n v="25"/>
    <x v="1"/>
    <s v="Debit Card"/>
  </r>
  <r>
    <n v="100544"/>
    <x v="515"/>
    <s v="AD-9572-A"/>
    <s v="Sports Bottle"/>
    <x v="2"/>
    <x v="4"/>
    <x v="0"/>
    <n v="3"/>
    <n v="47.46"/>
    <n v="15.82"/>
    <n v="20"/>
    <n v="37.97"/>
    <n v="17.440000000000001"/>
    <n v="42"/>
    <x v="1"/>
    <s v="Debit Card"/>
  </r>
  <r>
    <n v="101122"/>
    <x v="516"/>
    <s v="AD-9097-C"/>
    <s v="NMD_R1"/>
    <x v="1"/>
    <x v="4"/>
    <x v="0"/>
    <n v="2"/>
    <n v="293.08"/>
    <n v="146.54"/>
    <n v="10"/>
    <n v="263.77"/>
    <n v="71.62"/>
    <n v="33"/>
    <x v="1"/>
    <s v="Debit Card"/>
  </r>
  <r>
    <n v="100674"/>
    <x v="517"/>
    <s v="AD-3584-A"/>
    <s v="Copa Sense"/>
    <x v="1"/>
    <x v="2"/>
    <x v="0"/>
    <n v="3"/>
    <n v="510.03"/>
    <n v="170.01"/>
    <n v="5"/>
    <n v="484.53"/>
    <n v="126.2"/>
    <n v="34"/>
    <x v="1"/>
    <s v="Apple Pay"/>
  </r>
  <r>
    <n v="100689"/>
    <x v="518"/>
    <s v="AD-7844-A"/>
    <s v="Running Watch Strap"/>
    <x v="2"/>
    <x v="2"/>
    <x v="3"/>
    <n v="1"/>
    <n v="39.29"/>
    <n v="39.29"/>
    <n v="20"/>
    <n v="31.43"/>
    <n v="10.53"/>
    <n v="31"/>
    <x v="0"/>
    <s v="Credit Card"/>
  </r>
  <r>
    <n v="101054"/>
    <x v="519"/>
    <s v="AD-7458-B"/>
    <s v="Training Cap"/>
    <x v="2"/>
    <x v="4"/>
    <x v="0"/>
    <n v="3"/>
    <n v="66.81"/>
    <n v="22.27"/>
    <n v="0"/>
    <n v="66.81"/>
    <n v="23.44"/>
    <n v="40"/>
    <x v="1"/>
    <s v="PayPal"/>
  </r>
  <r>
    <n v="101176"/>
    <x v="234"/>
    <s v="AD-8673-C"/>
    <s v="Originals Backpack"/>
    <x v="2"/>
    <x v="1"/>
    <x v="1"/>
    <n v="3"/>
    <n v="181.05"/>
    <n v="60.35"/>
    <n v="10"/>
    <n v="162.94999999999999"/>
    <n v="64.819999999999993"/>
    <n v="23"/>
    <x v="1"/>
    <s v="Cash"/>
  </r>
  <r>
    <n v="101032"/>
    <x v="520"/>
    <s v="AD-5317-B"/>
    <s v="Originals Backpack"/>
    <x v="2"/>
    <x v="4"/>
    <x v="1"/>
    <n v="4"/>
    <n v="242.6"/>
    <n v="60.65"/>
    <n v="20"/>
    <n v="194.08"/>
    <n v="73.94"/>
    <n v="34"/>
    <x v="1"/>
    <s v="Debit Card"/>
  </r>
  <r>
    <n v="101034"/>
    <x v="521"/>
    <s v="AD-1289-B"/>
    <s v="Stan Smith"/>
    <x v="1"/>
    <x v="4"/>
    <x v="3"/>
    <n v="2"/>
    <n v="180.24"/>
    <n v="90.12"/>
    <n v="10"/>
    <n v="162.22"/>
    <n v="43.68"/>
    <n v="38"/>
    <x v="0"/>
    <s v="Apple Pay"/>
  </r>
  <r>
    <n v="100257"/>
    <x v="522"/>
    <s v="AD-6807-C"/>
    <s v="Copa Sense"/>
    <x v="1"/>
    <x v="4"/>
    <x v="0"/>
    <n v="1"/>
    <n v="126.83"/>
    <n v="126.83"/>
    <n v="10"/>
    <n v="114.15"/>
    <n v="39.17"/>
    <n v="23"/>
    <x v="1"/>
    <s v="NetBanking"/>
  </r>
  <r>
    <n v="100335"/>
    <x v="523"/>
    <s v="AD-2226-A"/>
    <s v="Training Shorts"/>
    <x v="0"/>
    <x v="0"/>
    <x v="1"/>
    <n v="6"/>
    <n v="145.38"/>
    <n v="24.23"/>
    <n v="5"/>
    <n v="138.11000000000001"/>
    <n v="37.799999999999997"/>
    <n v="28"/>
    <x v="1"/>
    <s v="Apple Pay"/>
  </r>
  <r>
    <n v="100015"/>
    <x v="524"/>
    <s v="AD-9727-B"/>
    <s v="Adicolor Hoodie"/>
    <x v="0"/>
    <x v="3"/>
    <x v="0"/>
    <n v="4"/>
    <n v="273.32"/>
    <n v="68.33"/>
    <n v="0"/>
    <n v="273.32"/>
    <n v="100.77"/>
    <n v="25"/>
    <x v="1"/>
    <s v="Debit Card"/>
  </r>
  <r>
    <n v="100901"/>
    <x v="461"/>
    <s v="AD-1872-C"/>
    <s v="NMD_R1"/>
    <x v="1"/>
    <x v="2"/>
    <x v="0"/>
    <n v="1"/>
    <n v="116.18"/>
    <n v="116.18"/>
    <n v="0"/>
    <n v="116.18"/>
    <n v="34.49"/>
    <n v="31"/>
    <x v="1"/>
    <s v="UPI"/>
  </r>
  <r>
    <n v="100324"/>
    <x v="337"/>
    <s v="AD-5456-A"/>
    <s v="Essentials Tee"/>
    <x v="0"/>
    <x v="4"/>
    <x v="2"/>
    <n v="1"/>
    <n v="24.62"/>
    <n v="24.62"/>
    <n v="0"/>
    <n v="24.62"/>
    <n v="5.5"/>
    <n v="32"/>
    <x v="1"/>
    <s v="Apple Pay"/>
  </r>
  <r>
    <n v="100607"/>
    <x v="410"/>
    <s v="AD-8888-B"/>
    <s v="Z.N.E. Hoodie"/>
    <x v="0"/>
    <x v="1"/>
    <x v="1"/>
    <n v="3"/>
    <n v="387"/>
    <n v="129"/>
    <n v="0"/>
    <n v="387"/>
    <n v="112.92"/>
    <n v="23"/>
    <x v="1"/>
    <s v="PayPal"/>
  </r>
  <r>
    <n v="101053"/>
    <x v="525"/>
    <s v="AD-3885-B"/>
    <s v="Originals Backpack"/>
    <x v="2"/>
    <x v="2"/>
    <x v="0"/>
    <n v="4"/>
    <n v="238.12"/>
    <n v="59.53"/>
    <n v="5"/>
    <n v="226.21"/>
    <n v="62.92"/>
    <n v="36"/>
    <x v="1"/>
    <s v="PayPal"/>
  </r>
  <r>
    <n v="100790"/>
    <x v="526"/>
    <s v="AD-8046-C"/>
    <s v="Z.N.E. Hoodie"/>
    <x v="0"/>
    <x v="4"/>
    <x v="2"/>
    <n v="4"/>
    <n v="551.28"/>
    <n v="137.82"/>
    <n v="10"/>
    <n v="496.15"/>
    <n v="124.58"/>
    <n v="16"/>
    <x v="0"/>
    <s v="Cash"/>
  </r>
  <r>
    <n v="100222"/>
    <x v="51"/>
    <s v="AD-4159-A"/>
    <s v="Sports Bottle"/>
    <x v="2"/>
    <x v="2"/>
    <x v="0"/>
    <n v="1"/>
    <n v="15.13"/>
    <n v="15.13"/>
    <n v="0"/>
    <n v="15.13"/>
    <n v="4.93"/>
    <n v="28"/>
    <x v="1"/>
    <s v="NetBanking"/>
  </r>
  <r>
    <n v="100179"/>
    <x v="527"/>
    <s v="AD-3730-D"/>
    <s v="Stan Smith"/>
    <x v="1"/>
    <x v="0"/>
    <x v="0"/>
    <n v="3"/>
    <n v="267.93"/>
    <n v="89.31"/>
    <n v="10"/>
    <n v="241.14"/>
    <n v="71.790000000000006"/>
    <n v="31"/>
    <x v="0"/>
    <s v="Apple Pay"/>
  </r>
  <r>
    <n v="100099"/>
    <x v="528"/>
    <s v="AD-6546-D"/>
    <s v="Predator Freak"/>
    <x v="1"/>
    <x v="0"/>
    <x v="0"/>
    <n v="2"/>
    <n v="425.44"/>
    <n v="212.72"/>
    <n v="5"/>
    <n v="404.17"/>
    <n v="70.67"/>
    <n v="35"/>
    <x v="1"/>
    <s v="NetBanking"/>
  </r>
  <r>
    <n v="100521"/>
    <x v="529"/>
    <s v="AD-8801-D"/>
    <s v="Gym Bag"/>
    <x v="2"/>
    <x v="4"/>
    <x v="1"/>
    <n v="3"/>
    <n v="128.72999999999999"/>
    <n v="42.91"/>
    <n v="0"/>
    <n v="128.72999999999999"/>
    <n v="47.84"/>
    <n v="25"/>
    <x v="0"/>
    <s v="Cash"/>
  </r>
  <r>
    <n v="100022"/>
    <x v="530"/>
    <s v="AD-7912-B"/>
    <s v="Z.N.E. Hoodie"/>
    <x v="0"/>
    <x v="4"/>
    <x v="0"/>
    <n v="2"/>
    <n v="236.3"/>
    <n v="118.15"/>
    <n v="0"/>
    <n v="236.3"/>
    <n v="70.44"/>
    <n v="39"/>
    <x v="1"/>
    <s v="PayPal"/>
  </r>
  <r>
    <n v="100356"/>
    <x v="272"/>
    <s v="AD-3854-C"/>
    <s v="Copa Sense"/>
    <x v="1"/>
    <x v="1"/>
    <x v="1"/>
    <n v="2"/>
    <n v="333.98"/>
    <n v="166.99"/>
    <n v="0"/>
    <n v="333.98"/>
    <n v="100.3"/>
    <n v="29"/>
    <x v="1"/>
    <s v="Cash"/>
  </r>
  <r>
    <n v="100733"/>
    <x v="531"/>
    <s v="AD-9664-B"/>
    <s v="Gym Bag"/>
    <x v="2"/>
    <x v="0"/>
    <x v="1"/>
    <n v="2"/>
    <n v="88.94"/>
    <n v="44.47"/>
    <n v="0"/>
    <n v="88.94"/>
    <n v="34.04"/>
    <n v="20"/>
    <x v="1"/>
    <s v="Credit Card"/>
  </r>
  <r>
    <n v="101093"/>
    <x v="96"/>
    <s v="AD-5306-A"/>
    <s v="Gym Bag"/>
    <x v="2"/>
    <x v="3"/>
    <x v="0"/>
    <n v="1"/>
    <n v="47.95"/>
    <n v="47.95"/>
    <n v="0"/>
    <n v="47.95"/>
    <n v="18.079999999999998"/>
    <n v="44"/>
    <x v="0"/>
    <s v="Google Pay"/>
  </r>
  <r>
    <n v="101111"/>
    <x v="532"/>
    <s v="AD-4204-D"/>
    <s v="Tiro 23 Track Pants"/>
    <x v="0"/>
    <x v="4"/>
    <x v="1"/>
    <n v="3"/>
    <n v="150.96"/>
    <n v="50.32"/>
    <n v="0"/>
    <n v="150.96"/>
    <n v="48.36"/>
    <n v="31"/>
    <x v="0"/>
    <s v="Debit Card"/>
  </r>
  <r>
    <n v="100611"/>
    <x v="452"/>
    <s v="AD-4893-C"/>
    <s v="Tiro 23 Track Pants"/>
    <x v="0"/>
    <x v="1"/>
    <x v="0"/>
    <n v="3"/>
    <n v="180.48"/>
    <n v="60.16"/>
    <n v="0"/>
    <n v="180.48"/>
    <n v="42.3"/>
    <n v="32"/>
    <x v="1"/>
    <s v="Google Pay"/>
  </r>
  <r>
    <n v="101009"/>
    <x v="533"/>
    <s v="AD-5483-A"/>
    <s v="Z.N.E. Hoodie"/>
    <x v="0"/>
    <x v="1"/>
    <x v="0"/>
    <n v="2"/>
    <n v="198.18"/>
    <n v="99.09"/>
    <n v="0"/>
    <n v="198.18"/>
    <n v="56.71"/>
    <n v="31"/>
    <x v="1"/>
    <s v="UPI"/>
  </r>
  <r>
    <n v="100340"/>
    <x v="534"/>
    <s v="AD-5262-B"/>
    <s v="Superstar"/>
    <x v="1"/>
    <x v="3"/>
    <x v="0"/>
    <n v="1"/>
    <n v="96.62"/>
    <n v="96.62"/>
    <n v="0"/>
    <n v="96.62"/>
    <n v="25.35"/>
    <n v="30"/>
    <x v="1"/>
    <s v="NetBanking"/>
  </r>
  <r>
    <n v="100431"/>
    <x v="238"/>
    <s v="AD-9328-B"/>
    <s v="Training Cap"/>
    <x v="2"/>
    <x v="0"/>
    <x v="1"/>
    <n v="3"/>
    <n v="60.81"/>
    <n v="20.27"/>
    <n v="10"/>
    <n v="54.73"/>
    <n v="23.65"/>
    <n v="16"/>
    <x v="1"/>
    <s v="Google Pay"/>
  </r>
  <r>
    <n v="100961"/>
    <x v="22"/>
    <s v="AD-2456-A"/>
    <s v="Tiro 23 Track Pants"/>
    <x v="0"/>
    <x v="1"/>
    <x v="2"/>
    <n v="1"/>
    <n v="54.94"/>
    <n v="54.94"/>
    <n v="0"/>
    <n v="54.94"/>
    <n v="17.32"/>
    <n v="35"/>
    <x v="0"/>
    <s v="Apple Pay"/>
  </r>
  <r>
    <n v="100217"/>
    <x v="331"/>
    <s v="AD-4814-A"/>
    <s v="NMD_R1"/>
    <x v="1"/>
    <x v="4"/>
    <x v="0"/>
    <n v="2"/>
    <n v="260.32"/>
    <n v="130.16"/>
    <n v="0"/>
    <n v="260.32"/>
    <n v="98.85"/>
    <n v="23"/>
    <x v="0"/>
    <s v="UPI"/>
  </r>
  <r>
    <n v="100203"/>
    <x v="535"/>
    <s v="AD-3108-A"/>
    <s v="Primegreen Jacket"/>
    <x v="0"/>
    <x v="0"/>
    <x v="0"/>
    <n v="3"/>
    <n v="431.64"/>
    <n v="143.88"/>
    <n v="0"/>
    <n v="431.64"/>
    <n v="66.599999999999994"/>
    <n v="32"/>
    <x v="2"/>
    <s v="Debit Card"/>
  </r>
  <r>
    <n v="100905"/>
    <x v="175"/>
    <s v="AD-3575-C"/>
    <s v="Adilette Slides"/>
    <x v="1"/>
    <x v="4"/>
    <x v="0"/>
    <n v="2"/>
    <n v="66.34"/>
    <n v="33.17"/>
    <n v="5"/>
    <n v="63.02"/>
    <n v="21.07"/>
    <n v="28"/>
    <x v="1"/>
    <s v="Apple Pay"/>
  </r>
  <r>
    <n v="100922"/>
    <x v="154"/>
    <s v="AD-8302-A"/>
    <s v="Adilette Slides"/>
    <x v="1"/>
    <x v="0"/>
    <x v="0"/>
    <n v="4"/>
    <n v="155.12"/>
    <n v="38.78"/>
    <n v="0"/>
    <n v="155.12"/>
    <n v="56.56"/>
    <n v="43"/>
    <x v="1"/>
    <s v="PayPal"/>
  </r>
  <r>
    <n v="100093"/>
    <x v="485"/>
    <s v="AD-9337-C"/>
    <s v="Stan Smith"/>
    <x v="1"/>
    <x v="4"/>
    <x v="2"/>
    <n v="2"/>
    <n v="136.58000000000001"/>
    <n v="68.290000000000006"/>
    <n v="5"/>
    <n v="129.75"/>
    <n v="37.71"/>
    <n v="29"/>
    <x v="1"/>
    <s v="NetBanking"/>
  </r>
  <r>
    <n v="100910"/>
    <x v="536"/>
    <s v="AD-3258-C"/>
    <s v="Z.N.E. Hoodie"/>
    <x v="0"/>
    <x v="0"/>
    <x v="1"/>
    <n v="4"/>
    <n v="427.56"/>
    <n v="106.89"/>
    <n v="40"/>
    <n v="256.54000000000002"/>
    <n v="60.89"/>
    <n v="25"/>
    <x v="0"/>
    <s v="UPI"/>
  </r>
  <r>
    <n v="100068"/>
    <x v="537"/>
    <s v="AD-5569-D"/>
    <s v="Originals Backpack"/>
    <x v="2"/>
    <x v="0"/>
    <x v="0"/>
    <n v="2"/>
    <n v="124.72"/>
    <n v="62.36"/>
    <n v="0"/>
    <n v="124.72"/>
    <n v="41.93"/>
    <n v="27"/>
    <x v="1"/>
    <s v="Debit Card"/>
  </r>
  <r>
    <n v="100894"/>
    <x v="483"/>
    <s v="AD-4363-D"/>
    <s v="NMD_R1"/>
    <x v="1"/>
    <x v="1"/>
    <x v="1"/>
    <n v="4"/>
    <n v="474.44"/>
    <n v="118.61"/>
    <n v="20"/>
    <n v="379.55"/>
    <n v="53.58"/>
    <n v="52"/>
    <x v="0"/>
    <s v="Apple Pay"/>
  </r>
  <r>
    <n v="100284"/>
    <x v="538"/>
    <s v="AD-6225-A"/>
    <s v="Adilette Slides"/>
    <x v="1"/>
    <x v="1"/>
    <x v="0"/>
    <n v="4"/>
    <n v="133.68"/>
    <n v="33.42"/>
    <n v="0"/>
    <n v="133.68"/>
    <n v="41.34"/>
    <n v="38"/>
    <x v="0"/>
    <s v="Google Pay"/>
  </r>
  <r>
    <n v="100696"/>
    <x v="539"/>
    <s v="AD-3267-C"/>
    <s v="Ultraboost Light"/>
    <x v="1"/>
    <x v="4"/>
    <x v="1"/>
    <n v="5"/>
    <n v="803.8"/>
    <n v="160.76"/>
    <n v="5"/>
    <n v="763.61"/>
    <n v="165.24"/>
    <n v="27"/>
    <x v="1"/>
    <s v="UPI"/>
  </r>
  <r>
    <n v="100085"/>
    <x v="25"/>
    <s v="AD-6280-C"/>
    <s v="Essentials Tee"/>
    <x v="0"/>
    <x v="1"/>
    <x v="0"/>
    <n v="1"/>
    <n v="24.85"/>
    <n v="24.85"/>
    <n v="0"/>
    <n v="24.85"/>
    <n v="7.5"/>
    <n v="22"/>
    <x v="1"/>
    <s v="Apple Pay"/>
  </r>
  <r>
    <n v="100434"/>
    <x v="310"/>
    <s v="AD-4560-B"/>
    <s v="Originals Backpack"/>
    <x v="2"/>
    <x v="2"/>
    <x v="1"/>
    <n v="2"/>
    <n v="130.1"/>
    <n v="65.05"/>
    <n v="0"/>
    <n v="130.1"/>
    <n v="33.840000000000003"/>
    <n v="45"/>
    <x v="0"/>
    <s v="Cash"/>
  </r>
  <r>
    <n v="100796"/>
    <x v="441"/>
    <s v="AD-2998-D"/>
    <s v="Superstar"/>
    <x v="1"/>
    <x v="1"/>
    <x v="0"/>
    <n v="3"/>
    <n v="296.25"/>
    <n v="98.75"/>
    <n v="20"/>
    <n v="237"/>
    <n v="70.42"/>
    <n v="38"/>
    <x v="1"/>
    <s v="NetBanking"/>
  </r>
  <r>
    <n v="100153"/>
    <x v="308"/>
    <s v="AD-2079-C"/>
    <s v="Originals Backpack"/>
    <x v="2"/>
    <x v="0"/>
    <x v="0"/>
    <n v="5"/>
    <n v="253.70000000000002"/>
    <n v="50.74"/>
    <n v="0"/>
    <n v="253.7"/>
    <n v="85.18"/>
    <n v="38"/>
    <x v="0"/>
    <s v="Cash"/>
  </r>
  <r>
    <n v="100075"/>
    <x v="76"/>
    <s v="AD-5494-A"/>
    <s v="Adilette Slides"/>
    <x v="1"/>
    <x v="1"/>
    <x v="0"/>
    <n v="3"/>
    <n v="120.39000000000001"/>
    <n v="40.130000000000003"/>
    <n v="5"/>
    <n v="114.37"/>
    <n v="33.89"/>
    <n v="27"/>
    <x v="0"/>
    <s v="PayPal"/>
  </r>
  <r>
    <n v="101042"/>
    <x v="380"/>
    <s v="AD-6996-D"/>
    <s v="Predator Freak"/>
    <x v="1"/>
    <x v="0"/>
    <x v="0"/>
    <n v="1"/>
    <n v="224.81"/>
    <n v="224.81"/>
    <n v="20"/>
    <n v="179.85"/>
    <n v="44.98"/>
    <n v="20"/>
    <x v="0"/>
    <s v="Cash"/>
  </r>
  <r>
    <n v="100580"/>
    <x v="350"/>
    <s v="AD-5970-D"/>
    <s v="Predator Freak"/>
    <x v="1"/>
    <x v="0"/>
    <x v="2"/>
    <n v="2"/>
    <n v="492.66"/>
    <n v="246.33"/>
    <n v="0"/>
    <n v="492.66"/>
    <n v="136.07"/>
    <n v="23"/>
    <x v="1"/>
    <s v="Apple Pay"/>
  </r>
  <r>
    <n v="100446"/>
    <x v="540"/>
    <s v="AD-9691-D"/>
    <s v="Training Shorts"/>
    <x v="0"/>
    <x v="4"/>
    <x v="0"/>
    <n v="2"/>
    <n v="58.58"/>
    <n v="29.29"/>
    <n v="20"/>
    <n v="46.86"/>
    <n v="11.64"/>
    <n v="19"/>
    <x v="1"/>
    <s v="UPI"/>
  </r>
  <r>
    <n v="100703"/>
    <x v="85"/>
    <s v="AD-8503-C"/>
    <s v="Running Watch Strap"/>
    <x v="2"/>
    <x v="0"/>
    <x v="0"/>
    <n v="4"/>
    <n v="153.4"/>
    <n v="38.35"/>
    <n v="5"/>
    <n v="145.72999999999999"/>
    <n v="37.24"/>
    <n v="23"/>
    <x v="0"/>
    <s v="Google Pay"/>
  </r>
  <r>
    <n v="100188"/>
    <x v="328"/>
    <s v="AD-8657-B"/>
    <s v="Adilette Slides"/>
    <x v="1"/>
    <x v="4"/>
    <x v="1"/>
    <n v="1"/>
    <n v="36.47"/>
    <n v="36.47"/>
    <n v="0"/>
    <n v="36.47"/>
    <n v="14.19"/>
    <n v="31"/>
    <x v="1"/>
    <s v="Cash"/>
  </r>
  <r>
    <n v="100271"/>
    <x v="251"/>
    <s v="AD-8121-C"/>
    <s v="Primegreen Jacket"/>
    <x v="0"/>
    <x v="4"/>
    <x v="0"/>
    <n v="4"/>
    <n v="547.6"/>
    <n v="136.9"/>
    <n v="20"/>
    <n v="438.08"/>
    <n v="118.27"/>
    <n v="32"/>
    <x v="1"/>
    <s v="PayPal"/>
  </r>
  <r>
    <n v="100236"/>
    <x v="29"/>
    <s v="AD-5888-D"/>
    <s v="Sports Bottle"/>
    <x v="2"/>
    <x v="4"/>
    <x v="3"/>
    <n v="1"/>
    <n v="13.05"/>
    <n v="13.05"/>
    <n v="5"/>
    <n v="12.4"/>
    <n v="4.58"/>
    <n v="25"/>
    <x v="0"/>
    <s v="Credit Card"/>
  </r>
  <r>
    <n v="100487"/>
    <x v="541"/>
    <s v="AD-4764-D"/>
    <s v="Training Shorts"/>
    <x v="0"/>
    <x v="1"/>
    <x v="0"/>
    <n v="3"/>
    <n v="91.53"/>
    <n v="30.51"/>
    <n v="0"/>
    <n v="91.53"/>
    <n v="19.71"/>
    <n v="24"/>
    <x v="0"/>
    <s v="Debit Card"/>
  </r>
  <r>
    <n v="101159"/>
    <x v="542"/>
    <s v="AD-1341-B"/>
    <s v="Z.N.E. Hoodie"/>
    <x v="0"/>
    <x v="4"/>
    <x v="0"/>
    <n v="4"/>
    <n v="513.67999999999995"/>
    <n v="128.41999999999999"/>
    <n v="0"/>
    <n v="513.67999999999995"/>
    <n v="141.94999999999999"/>
    <n v="24"/>
    <x v="1"/>
    <s v="Cash"/>
  </r>
  <r>
    <n v="100559"/>
    <x v="480"/>
    <s v="AD-1886-C"/>
    <s v="Adicolor Hoodie"/>
    <x v="0"/>
    <x v="2"/>
    <x v="3"/>
    <n v="1"/>
    <n v="81.650000000000006"/>
    <n v="81.650000000000006"/>
    <n v="0"/>
    <n v="81.650000000000006"/>
    <n v="24.12"/>
    <n v="20"/>
    <x v="0"/>
    <s v="Apple Pay"/>
  </r>
  <r>
    <n v="100117"/>
    <x v="543"/>
    <s v="AD-3531-D"/>
    <s v="Sports Bottle"/>
    <x v="2"/>
    <x v="1"/>
    <x v="1"/>
    <n v="3"/>
    <n v="50.400000000000006"/>
    <n v="16.8"/>
    <n v="10"/>
    <n v="45.36"/>
    <n v="15.54"/>
    <n v="51"/>
    <x v="0"/>
    <s v="Apple Pay"/>
  </r>
  <r>
    <n v="100637"/>
    <x v="134"/>
    <s v="AD-3945-D"/>
    <s v="Predator Freak"/>
    <x v="1"/>
    <x v="1"/>
    <x v="1"/>
    <n v="1"/>
    <n v="205.68"/>
    <n v="205.68"/>
    <n v="0"/>
    <n v="205.68"/>
    <n v="66.19"/>
    <n v="16"/>
    <x v="0"/>
    <s v="Apple Pay"/>
  </r>
  <r>
    <n v="101127"/>
    <x v="448"/>
    <s v="AD-5384-C"/>
    <s v="Adilette Slides"/>
    <x v="1"/>
    <x v="4"/>
    <x v="0"/>
    <n v="6"/>
    <n v="242.88"/>
    <n v="40.479999999999997"/>
    <n v="10"/>
    <n v="218.59"/>
    <n v="47.7"/>
    <n v="37"/>
    <x v="0"/>
    <s v="PayPal"/>
  </r>
  <r>
    <n v="100750"/>
    <x v="527"/>
    <s v="AD-6591-D"/>
    <s v="Ultraboost Light"/>
    <x v="1"/>
    <x v="4"/>
    <x v="2"/>
    <n v="1"/>
    <n v="168.9"/>
    <n v="168.9"/>
    <n v="10"/>
    <n v="152.01"/>
    <n v="45.82"/>
    <n v="22"/>
    <x v="1"/>
    <s v="Credit Card"/>
  </r>
  <r>
    <n v="100512"/>
    <x v="350"/>
    <s v="AD-6638-A"/>
    <s v="Stan Smith"/>
    <x v="1"/>
    <x v="1"/>
    <x v="0"/>
    <n v="1"/>
    <n v="82.72"/>
    <n v="82.72"/>
    <n v="5"/>
    <n v="78.58"/>
    <n v="24.92"/>
    <n v="34"/>
    <x v="0"/>
    <s v="NetBanking"/>
  </r>
  <r>
    <n v="100633"/>
    <x v="223"/>
    <s v="AD-2797-C"/>
    <s v="Training Shorts"/>
    <x v="0"/>
    <x v="3"/>
    <x v="0"/>
    <n v="2"/>
    <n v="60.66"/>
    <n v="30.33"/>
    <n v="0"/>
    <n v="60.66"/>
    <n v="16.72"/>
    <n v="29"/>
    <x v="0"/>
    <s v="Cash"/>
  </r>
  <r>
    <n v="100785"/>
    <x v="58"/>
    <s v="AD-4476-D"/>
    <s v="Performance Socks (3-pack)"/>
    <x v="2"/>
    <x v="1"/>
    <x v="2"/>
    <n v="4"/>
    <n v="73.040000000000006"/>
    <n v="18.260000000000002"/>
    <n v="10"/>
    <n v="65.739999999999995"/>
    <n v="14.12"/>
    <n v="34"/>
    <x v="0"/>
    <s v="Apple Pay"/>
  </r>
  <r>
    <n v="101006"/>
    <x v="432"/>
    <s v="AD-2156-C"/>
    <s v="Performance Socks (3-pack)"/>
    <x v="2"/>
    <x v="4"/>
    <x v="0"/>
    <n v="5"/>
    <n v="93.100000000000009"/>
    <n v="18.62"/>
    <n v="10"/>
    <n v="83.79"/>
    <n v="31.99"/>
    <n v="25"/>
    <x v="0"/>
    <s v="UPI"/>
  </r>
  <r>
    <n v="100852"/>
    <x v="74"/>
    <s v="AD-2450-B"/>
    <s v="Primegreen Jacket"/>
    <x v="0"/>
    <x v="4"/>
    <x v="1"/>
    <n v="2"/>
    <n v="288.3"/>
    <n v="144.15"/>
    <n v="5"/>
    <n v="273.88"/>
    <n v="86.29"/>
    <n v="33"/>
    <x v="1"/>
    <s v="NetBanking"/>
  </r>
  <r>
    <n v="100126"/>
    <x v="428"/>
    <s v="AD-2204-A"/>
    <s v="Training Cap"/>
    <x v="2"/>
    <x v="1"/>
    <x v="0"/>
    <n v="4"/>
    <n v="83"/>
    <n v="20.75"/>
    <n v="0"/>
    <n v="83"/>
    <n v="28.01"/>
    <n v="39"/>
    <x v="0"/>
    <s v="Google Pay"/>
  </r>
  <r>
    <n v="100116"/>
    <x v="544"/>
    <s v="AD-2902-A"/>
    <s v="Tiro 23 Track Pants"/>
    <x v="0"/>
    <x v="4"/>
    <x v="0"/>
    <n v="3"/>
    <n v="183.3"/>
    <n v="61.1"/>
    <n v="0"/>
    <n v="183.3"/>
    <n v="62.42"/>
    <n v="16"/>
    <x v="1"/>
    <s v="Google Pay"/>
  </r>
  <r>
    <n v="100473"/>
    <x v="366"/>
    <s v="AD-4773-D"/>
    <s v="Superstar"/>
    <x v="1"/>
    <x v="4"/>
    <x v="0"/>
    <n v="6"/>
    <n v="608.64"/>
    <n v="101.44"/>
    <n v="0"/>
    <n v="608.64"/>
    <n v="152.53"/>
    <n v="34"/>
    <x v="1"/>
    <s v="Debit Card"/>
  </r>
  <r>
    <n v="100740"/>
    <x v="545"/>
    <s v="AD-2060-C"/>
    <s v="Primegreen Jacket"/>
    <x v="0"/>
    <x v="3"/>
    <x v="1"/>
    <n v="1"/>
    <n v="121.08"/>
    <n v="121.08"/>
    <n v="0"/>
    <n v="121.08"/>
    <n v="35.31"/>
    <n v="25"/>
    <x v="0"/>
    <s v="PayPal"/>
  </r>
  <r>
    <n v="100992"/>
    <x v="546"/>
    <s v="AD-7169-D"/>
    <s v="Ultraboost 22"/>
    <x v="1"/>
    <x v="2"/>
    <x v="0"/>
    <n v="2"/>
    <n v="368.18"/>
    <n v="184.09"/>
    <n v="5"/>
    <n v="349.77"/>
    <n v="109.44"/>
    <n v="17"/>
    <x v="0"/>
    <s v="PayPal"/>
  </r>
  <r>
    <n v="100057"/>
    <x v="547"/>
    <s v="AD-8999-B"/>
    <s v="Training Shorts"/>
    <x v="0"/>
    <x v="1"/>
    <x v="2"/>
    <n v="4"/>
    <n v="125.84"/>
    <n v="31.46"/>
    <n v="5"/>
    <n v="119.55"/>
    <n v="37.4"/>
    <n v="28"/>
    <x v="0"/>
    <s v="UPI"/>
  </r>
  <r>
    <n v="100603"/>
    <x v="210"/>
    <s v="AD-1392-D"/>
    <s v="Copa Sense"/>
    <x v="1"/>
    <x v="4"/>
    <x v="0"/>
    <n v="3"/>
    <n v="509.09999999999997"/>
    <n v="169.7"/>
    <n v="0"/>
    <n v="509.1"/>
    <n v="180.04"/>
    <n v="32"/>
    <x v="1"/>
    <s v="Debit Card"/>
  </r>
  <r>
    <n v="100786"/>
    <x v="548"/>
    <s v="AD-4847-D"/>
    <s v="Originals Backpack"/>
    <x v="2"/>
    <x v="4"/>
    <x v="0"/>
    <n v="2"/>
    <n v="113.52"/>
    <n v="56.76"/>
    <n v="0"/>
    <n v="113.52"/>
    <n v="24.97"/>
    <n v="23"/>
    <x v="1"/>
    <s v="Cash"/>
  </r>
  <r>
    <n v="100970"/>
    <x v="549"/>
    <s v="AD-7583-B"/>
    <s v="NMD_R1"/>
    <x v="1"/>
    <x v="1"/>
    <x v="0"/>
    <n v="2"/>
    <n v="232.92"/>
    <n v="116.46"/>
    <n v="10"/>
    <n v="209.63"/>
    <n v="43.47"/>
    <n v="31"/>
    <x v="1"/>
    <s v="Google Pay"/>
  </r>
  <r>
    <n v="100656"/>
    <x v="293"/>
    <s v="AD-5528-D"/>
    <s v="Stan Smith"/>
    <x v="1"/>
    <x v="4"/>
    <x v="1"/>
    <n v="5"/>
    <n v="404.7"/>
    <n v="80.94"/>
    <n v="0"/>
    <n v="404.7"/>
    <n v="143.22"/>
    <n v="23"/>
    <x v="0"/>
    <s v="Google Pay"/>
  </r>
  <r>
    <n v="100902"/>
    <x v="550"/>
    <s v="AD-8711-A"/>
    <s v="Predator Freak"/>
    <x v="1"/>
    <x v="3"/>
    <x v="2"/>
    <n v="3"/>
    <n v="664.47"/>
    <n v="221.49"/>
    <n v="0"/>
    <n v="664.47"/>
    <n v="225.85"/>
    <n v="26"/>
    <x v="1"/>
    <s v="Debit Card"/>
  </r>
  <r>
    <n v="100921"/>
    <x v="551"/>
    <s v="AD-3601-C"/>
    <s v="Adilette Slides"/>
    <x v="1"/>
    <x v="4"/>
    <x v="0"/>
    <n v="3"/>
    <n v="89.37"/>
    <n v="29.79"/>
    <n v="10"/>
    <n v="80.430000000000007"/>
    <n v="28.4"/>
    <n v="26"/>
    <x v="0"/>
    <s v="Google Pay"/>
  </r>
  <r>
    <n v="100105"/>
    <x v="27"/>
    <s v="AD-8237-C"/>
    <s v="Ultraboost 22"/>
    <x v="1"/>
    <x v="1"/>
    <x v="0"/>
    <n v="3"/>
    <n v="515.06999999999994"/>
    <n v="171.69"/>
    <n v="0"/>
    <n v="515.07000000000005"/>
    <n v="135.88999999999999"/>
    <n v="49"/>
    <x v="1"/>
    <s v="Debit Card"/>
  </r>
  <r>
    <n v="100635"/>
    <x v="306"/>
    <s v="AD-7835-B"/>
    <s v="Sports Bottle"/>
    <x v="2"/>
    <x v="4"/>
    <x v="0"/>
    <n v="1"/>
    <n v="15.38"/>
    <n v="15.38"/>
    <n v="20"/>
    <n v="12.3"/>
    <n v="6.01"/>
    <n v="26"/>
    <x v="0"/>
    <s v="Cash"/>
  </r>
  <r>
    <n v="100369"/>
    <x v="552"/>
    <s v="AD-5315-B"/>
    <s v="Training Shorts"/>
    <x v="0"/>
    <x v="1"/>
    <x v="0"/>
    <n v="5"/>
    <n v="153.45000000000002"/>
    <n v="30.69"/>
    <n v="0"/>
    <n v="153.44999999999999"/>
    <n v="53.7"/>
    <n v="28"/>
    <x v="1"/>
    <s v="Google Pay"/>
  </r>
  <r>
    <n v="100268"/>
    <x v="25"/>
    <s v="AD-8353-D"/>
    <s v="Tiro 23 Track Pants"/>
    <x v="0"/>
    <x v="0"/>
    <x v="0"/>
    <n v="2"/>
    <n v="115.64"/>
    <n v="57.82"/>
    <n v="5"/>
    <n v="109.86"/>
    <n v="38.83"/>
    <n v="41"/>
    <x v="1"/>
    <s v="Apple Pay"/>
  </r>
  <r>
    <n v="100655"/>
    <x v="185"/>
    <s v="AD-7159-B"/>
    <s v="NMD_R1"/>
    <x v="1"/>
    <x v="0"/>
    <x v="0"/>
    <n v="6"/>
    <n v="698.09999999999991"/>
    <n v="116.35"/>
    <n v="0"/>
    <n v="698.1"/>
    <n v="156.12"/>
    <n v="16"/>
    <x v="0"/>
    <s v="PayPal"/>
  </r>
  <r>
    <n v="100046"/>
    <x v="467"/>
    <s v="AD-5930-D"/>
    <s v="Tiro 23 Track Pants"/>
    <x v="0"/>
    <x v="4"/>
    <x v="1"/>
    <n v="4"/>
    <n v="251.08"/>
    <n v="62.77"/>
    <n v="0"/>
    <n v="251.08"/>
    <n v="76.400000000000006"/>
    <n v="46"/>
    <x v="1"/>
    <s v="PayPal"/>
  </r>
  <r>
    <n v="100349"/>
    <x v="553"/>
    <s v="AD-3615-A"/>
    <s v="Essentials Tee"/>
    <x v="0"/>
    <x v="3"/>
    <x v="1"/>
    <n v="5"/>
    <n v="132.35"/>
    <n v="26.47"/>
    <n v="10"/>
    <n v="119.11"/>
    <n v="24.82"/>
    <n v="37"/>
    <x v="0"/>
    <s v="UPI"/>
  </r>
  <r>
    <n v="100773"/>
    <x v="554"/>
    <s v="AD-7656-A"/>
    <s v="Adicolor Hoodie"/>
    <x v="0"/>
    <x v="2"/>
    <x v="0"/>
    <n v="3"/>
    <n v="210.03000000000003"/>
    <n v="70.010000000000005"/>
    <n v="5"/>
    <n v="199.53"/>
    <n v="57.71"/>
    <n v="29"/>
    <x v="1"/>
    <s v="Cash"/>
  </r>
  <r>
    <n v="100195"/>
    <x v="458"/>
    <s v="AD-5873-D"/>
    <s v="Sports Bottle"/>
    <x v="2"/>
    <x v="3"/>
    <x v="1"/>
    <n v="3"/>
    <n v="45.42"/>
    <n v="15.14"/>
    <n v="5"/>
    <n v="43.15"/>
    <n v="17.54"/>
    <n v="29"/>
    <x v="0"/>
    <s v="Apple Pay"/>
  </r>
  <r>
    <n v="100102"/>
    <x v="555"/>
    <s v="AD-5806-C"/>
    <s v="Stan Smith"/>
    <x v="1"/>
    <x v="0"/>
    <x v="2"/>
    <n v="2"/>
    <n v="159.62"/>
    <n v="79.81"/>
    <n v="5"/>
    <n v="151.63999999999999"/>
    <n v="31.81"/>
    <n v="32"/>
    <x v="1"/>
    <s v="Credit Card"/>
  </r>
  <r>
    <n v="100004"/>
    <x v="556"/>
    <s v="AD-4150-A"/>
    <s v="Stan Smith"/>
    <x v="1"/>
    <x v="1"/>
    <x v="1"/>
    <n v="2"/>
    <n v="170.92"/>
    <n v="85.46"/>
    <n v="0"/>
    <n v="170.92"/>
    <n v="39.1"/>
    <n v="20"/>
    <x v="0"/>
    <s v="Cash"/>
  </r>
  <r>
    <n v="100619"/>
    <x v="333"/>
    <s v="AD-1831-B"/>
    <s v="Tiro 23 Track Pants"/>
    <x v="0"/>
    <x v="4"/>
    <x v="0"/>
    <n v="3"/>
    <n v="142.05000000000001"/>
    <n v="47.35"/>
    <n v="0"/>
    <n v="142.05000000000001"/>
    <n v="39.31"/>
    <n v="22"/>
    <x v="0"/>
    <s v="Google Pay"/>
  </r>
  <r>
    <n v="100990"/>
    <x v="523"/>
    <s v="AD-5981-D"/>
    <s v="Sports Bottle"/>
    <x v="2"/>
    <x v="4"/>
    <x v="1"/>
    <n v="2"/>
    <n v="33.78"/>
    <n v="16.89"/>
    <n v="5"/>
    <n v="32.090000000000003"/>
    <n v="11.62"/>
    <n v="40"/>
    <x v="0"/>
    <s v="Credit Card"/>
  </r>
  <r>
    <n v="100052"/>
    <x v="557"/>
    <s v="AD-8251-D"/>
    <s v="Sports Bottle"/>
    <x v="2"/>
    <x v="2"/>
    <x v="1"/>
    <n v="4"/>
    <n v="63.12"/>
    <n v="15.78"/>
    <n v="20"/>
    <n v="50.5"/>
    <n v="17.11"/>
    <n v="35"/>
    <x v="0"/>
    <s v="Cash"/>
  </r>
  <r>
    <n v="100263"/>
    <x v="217"/>
    <s v="AD-3292-A"/>
    <s v="Adicolor Hoodie"/>
    <x v="0"/>
    <x v="2"/>
    <x v="1"/>
    <n v="4"/>
    <n v="281.39999999999998"/>
    <n v="70.349999999999994"/>
    <n v="0"/>
    <n v="281.39999999999998"/>
    <n v="82.79"/>
    <n v="26"/>
    <x v="1"/>
    <s v="Apple Pay"/>
  </r>
  <r>
    <n v="101092"/>
    <x v="558"/>
    <s v="AD-3113-D"/>
    <s v="Stan Smith"/>
    <x v="1"/>
    <x v="1"/>
    <x v="0"/>
    <n v="1"/>
    <n v="73"/>
    <n v="73"/>
    <n v="0"/>
    <n v="73"/>
    <n v="22.96"/>
    <n v="21"/>
    <x v="1"/>
    <s v="Apple Pay"/>
  </r>
  <r>
    <n v="100443"/>
    <x v="559"/>
    <s v="AD-1092-C"/>
    <s v="Ultraboost Light"/>
    <x v="1"/>
    <x v="0"/>
    <x v="0"/>
    <n v="3"/>
    <n v="395.46"/>
    <n v="131.82"/>
    <n v="5"/>
    <n v="375.69"/>
    <n v="102.64"/>
    <n v="16"/>
    <x v="0"/>
    <s v="NetBanking"/>
  </r>
  <r>
    <n v="100971"/>
    <x v="60"/>
    <s v="AD-7036-D"/>
    <s v="NMD_R1"/>
    <x v="1"/>
    <x v="1"/>
    <x v="3"/>
    <n v="3"/>
    <n v="376.08"/>
    <n v="125.36"/>
    <n v="10"/>
    <n v="338.47"/>
    <n v="118.32"/>
    <n v="31"/>
    <x v="0"/>
    <s v="UPI"/>
  </r>
  <r>
    <n v="100782"/>
    <x v="560"/>
    <s v="AD-4677-B"/>
    <s v="Gym Bag"/>
    <x v="2"/>
    <x v="2"/>
    <x v="1"/>
    <n v="1"/>
    <n v="41.95"/>
    <n v="41.95"/>
    <n v="5"/>
    <n v="39.85"/>
    <n v="11.52"/>
    <n v="29"/>
    <x v="0"/>
    <s v="Debit Card"/>
  </r>
  <r>
    <n v="100846"/>
    <x v="561"/>
    <s v="AD-7694-A"/>
    <s v="Adilette Slides"/>
    <x v="1"/>
    <x v="4"/>
    <x v="0"/>
    <n v="2"/>
    <n v="64.8"/>
    <n v="32.4"/>
    <n v="5"/>
    <n v="61.56"/>
    <n v="16.649999999999999"/>
    <n v="40"/>
    <x v="0"/>
    <s v="Debit Card"/>
  </r>
  <r>
    <n v="100691"/>
    <x v="562"/>
    <s v="AD-6872-C"/>
    <s v="Superstar"/>
    <x v="1"/>
    <x v="4"/>
    <x v="1"/>
    <n v="2"/>
    <n v="210.56"/>
    <n v="105.28"/>
    <n v="0"/>
    <n v="210.56"/>
    <n v="67.63"/>
    <n v="30"/>
    <x v="0"/>
    <s v="PayPal"/>
  </r>
  <r>
    <n v="100304"/>
    <x v="185"/>
    <s v="AD-6869-A"/>
    <s v="Training Cap"/>
    <x v="2"/>
    <x v="4"/>
    <x v="1"/>
    <n v="3"/>
    <n v="62.58"/>
    <n v="20.86"/>
    <n v="5"/>
    <n v="59.45"/>
    <n v="19.37"/>
    <n v="26"/>
    <x v="0"/>
    <s v="Google Pay"/>
  </r>
  <r>
    <n v="100341"/>
    <x v="563"/>
    <s v="AD-3290-A"/>
    <s v="Primegreen Jacket"/>
    <x v="0"/>
    <x v="0"/>
    <x v="1"/>
    <n v="5"/>
    <n v="578.9"/>
    <n v="115.78"/>
    <n v="0"/>
    <n v="578.9"/>
    <n v="137.49"/>
    <n v="17"/>
    <x v="1"/>
    <s v="Debit Card"/>
  </r>
  <r>
    <n v="100866"/>
    <x v="564"/>
    <s v="AD-5578-D"/>
    <s v="Sports Bottle"/>
    <x v="2"/>
    <x v="1"/>
    <x v="0"/>
    <n v="3"/>
    <n v="44.13"/>
    <n v="14.71"/>
    <n v="0"/>
    <n v="44.13"/>
    <n v="14.59"/>
    <n v="22"/>
    <x v="1"/>
    <s v="PayPal"/>
  </r>
  <r>
    <n v="100313"/>
    <x v="565"/>
    <s v="AD-7745-D"/>
    <s v="Running Watch Strap"/>
    <x v="2"/>
    <x v="0"/>
    <x v="0"/>
    <n v="2"/>
    <n v="86.3"/>
    <n v="43.15"/>
    <n v="10"/>
    <n v="77.67"/>
    <n v="32.090000000000003"/>
    <n v="50"/>
    <x v="0"/>
    <s v="PayPal"/>
  </r>
  <r>
    <n v="100149"/>
    <x v="566"/>
    <s v="AD-9307-D"/>
    <s v="Performance Socks (3-pack)"/>
    <x v="2"/>
    <x v="4"/>
    <x v="2"/>
    <n v="2"/>
    <n v="36.6"/>
    <n v="18.3"/>
    <n v="5"/>
    <n v="34.770000000000003"/>
    <n v="8.84"/>
    <n v="38"/>
    <x v="1"/>
    <s v="Debit Card"/>
  </r>
  <r>
    <n v="100124"/>
    <x v="567"/>
    <s v="AD-8344-C"/>
    <s v="Essentials Tee"/>
    <x v="0"/>
    <x v="0"/>
    <x v="1"/>
    <n v="1"/>
    <n v="30.15"/>
    <n v="30.15"/>
    <n v="10"/>
    <n v="27.13"/>
    <n v="7.69"/>
    <n v="23"/>
    <x v="0"/>
    <s v="Google Pay"/>
  </r>
  <r>
    <n v="101062"/>
    <x v="186"/>
    <s v="AD-2939-C"/>
    <s v="Stan Smith"/>
    <x v="1"/>
    <x v="3"/>
    <x v="0"/>
    <n v="5"/>
    <n v="388.15"/>
    <n v="77.63"/>
    <n v="20"/>
    <n v="310.52"/>
    <n v="95.06"/>
    <n v="21"/>
    <x v="1"/>
    <s v="Cash"/>
  </r>
  <r>
    <n v="100574"/>
    <x v="568"/>
    <s v="AD-2015-C"/>
    <s v="Copa Sense"/>
    <x v="1"/>
    <x v="0"/>
    <x v="0"/>
    <n v="2"/>
    <n v="339.84"/>
    <n v="169.92"/>
    <n v="10"/>
    <n v="305.86"/>
    <n v="100.22"/>
    <n v="39"/>
    <x v="1"/>
    <s v="NetBanking"/>
  </r>
  <r>
    <n v="100697"/>
    <x v="31"/>
    <s v="AD-4693-C"/>
    <s v="Sports Bottle"/>
    <x v="2"/>
    <x v="1"/>
    <x v="3"/>
    <n v="2"/>
    <n v="26.76"/>
    <n v="13.38"/>
    <n v="10"/>
    <n v="24.08"/>
    <n v="6.74"/>
    <n v="34"/>
    <x v="0"/>
    <s v="UPI"/>
  </r>
  <r>
    <n v="100664"/>
    <x v="15"/>
    <s v="AD-4327-B"/>
    <s v="Superstar"/>
    <x v="1"/>
    <x v="2"/>
    <x v="0"/>
    <n v="1"/>
    <n v="102.55"/>
    <n v="102.55"/>
    <n v="5"/>
    <n v="97.42"/>
    <n v="24.8"/>
    <n v="35"/>
    <x v="0"/>
    <s v="NetBanking"/>
  </r>
  <r>
    <n v="100050"/>
    <x v="538"/>
    <s v="AD-4997-B"/>
    <s v="Originals Backpack"/>
    <x v="2"/>
    <x v="0"/>
    <x v="1"/>
    <n v="3"/>
    <n v="173.67000000000002"/>
    <n v="57.89"/>
    <n v="0"/>
    <n v="173.67"/>
    <n v="58.9"/>
    <n v="33"/>
    <x v="1"/>
    <s v="Apple Pay"/>
  </r>
  <r>
    <n v="100726"/>
    <x v="85"/>
    <s v="AD-9612-A"/>
    <s v="Z.N.E. Hoodie"/>
    <x v="0"/>
    <x v="4"/>
    <x v="0"/>
    <n v="3"/>
    <n v="381.42"/>
    <n v="127.14"/>
    <n v="0"/>
    <n v="381.42"/>
    <n v="87.74"/>
    <n v="29"/>
    <x v="1"/>
    <s v="UPI"/>
  </r>
  <r>
    <n v="100799"/>
    <x v="569"/>
    <s v="AD-2516-D"/>
    <s v="Ultraboost Light"/>
    <x v="1"/>
    <x v="4"/>
    <x v="1"/>
    <n v="3"/>
    <n v="428.52"/>
    <n v="142.84"/>
    <n v="0"/>
    <n v="428.52"/>
    <n v="125.72"/>
    <n v="25"/>
    <x v="0"/>
    <s v="Apple Pay"/>
  </r>
  <r>
    <n v="100353"/>
    <x v="314"/>
    <s v="AD-3137-C"/>
    <s v="Ultraboost Light"/>
    <x v="1"/>
    <x v="4"/>
    <x v="1"/>
    <n v="3"/>
    <n v="444.18"/>
    <n v="148.06"/>
    <n v="20"/>
    <n v="355.34"/>
    <n v="76.69"/>
    <n v="23"/>
    <x v="1"/>
    <s v="UPI"/>
  </r>
  <r>
    <n v="101152"/>
    <x v="41"/>
    <s v="AD-9227-D"/>
    <s v="Essentials Tee"/>
    <x v="0"/>
    <x v="0"/>
    <x v="0"/>
    <n v="3"/>
    <n v="72.81"/>
    <n v="24.27"/>
    <n v="10"/>
    <n v="65.53"/>
    <n v="12.71"/>
    <n v="23"/>
    <x v="1"/>
    <s v="Apple Pay"/>
  </r>
  <r>
    <n v="100142"/>
    <x v="364"/>
    <s v="AD-7626-D"/>
    <s v="Ultraboost Light"/>
    <x v="1"/>
    <x v="1"/>
    <x v="0"/>
    <n v="3"/>
    <n v="395.13"/>
    <n v="131.71"/>
    <n v="5"/>
    <n v="375.37"/>
    <n v="97.63"/>
    <n v="22"/>
    <x v="1"/>
    <s v="Apple Pay"/>
  </r>
  <r>
    <n v="100470"/>
    <x v="510"/>
    <s v="AD-5314-B"/>
    <s v="Performance Socks (3-pack)"/>
    <x v="2"/>
    <x v="4"/>
    <x v="1"/>
    <n v="3"/>
    <n v="54.42"/>
    <n v="18.14"/>
    <n v="0"/>
    <n v="54.42"/>
    <n v="11.64"/>
    <n v="33"/>
    <x v="1"/>
    <s v="NetBanking"/>
  </r>
  <r>
    <n v="100653"/>
    <x v="496"/>
    <s v="AD-2600-A"/>
    <s v="Copa Sense"/>
    <x v="1"/>
    <x v="4"/>
    <x v="0"/>
    <n v="3"/>
    <n v="499.47"/>
    <n v="166.49"/>
    <n v="5"/>
    <n v="474.5"/>
    <n v="134.59"/>
    <n v="28"/>
    <x v="1"/>
    <s v="Apple Pay"/>
  </r>
  <r>
    <n v="100399"/>
    <x v="287"/>
    <s v="AD-2324-D"/>
    <s v="Originals Backpack"/>
    <x v="2"/>
    <x v="2"/>
    <x v="3"/>
    <n v="3"/>
    <n v="179.39999999999998"/>
    <n v="59.8"/>
    <n v="0"/>
    <n v="179.4"/>
    <n v="68.19"/>
    <n v="35"/>
    <x v="1"/>
    <s v="PayPal"/>
  </r>
  <r>
    <n v="101153"/>
    <x v="570"/>
    <s v="AD-4177-C"/>
    <s v="Z.N.E. Hoodie"/>
    <x v="0"/>
    <x v="4"/>
    <x v="0"/>
    <n v="1"/>
    <n v="111.64"/>
    <n v="111.64"/>
    <n v="10"/>
    <n v="100.48"/>
    <n v="23.81"/>
    <n v="27"/>
    <x v="0"/>
    <s v="Apple Pay"/>
  </r>
  <r>
    <n v="100937"/>
    <x v="571"/>
    <s v="AD-3844-A"/>
    <s v="Sports Bottle"/>
    <x v="2"/>
    <x v="1"/>
    <x v="0"/>
    <n v="3"/>
    <n v="43.8"/>
    <n v="14.6"/>
    <n v="5"/>
    <n v="41.61"/>
    <n v="12.82"/>
    <n v="39"/>
    <x v="1"/>
    <s v="Cash"/>
  </r>
  <r>
    <n v="100320"/>
    <x v="92"/>
    <s v="AD-2294-B"/>
    <s v="Primegreen Jacket"/>
    <x v="0"/>
    <x v="1"/>
    <x v="1"/>
    <n v="3"/>
    <n v="404.40000000000003"/>
    <n v="134.80000000000001"/>
    <n v="10"/>
    <n v="363.96"/>
    <n v="106.3"/>
    <n v="25"/>
    <x v="1"/>
    <s v="NetBanking"/>
  </r>
  <r>
    <n v="100019"/>
    <x v="572"/>
    <s v="AD-9834-B"/>
    <s v="Ultraboost Light"/>
    <x v="1"/>
    <x v="4"/>
    <x v="0"/>
    <n v="2"/>
    <n v="308.3"/>
    <n v="154.15"/>
    <n v="0"/>
    <n v="308.3"/>
    <n v="99.47"/>
    <n v="28"/>
    <x v="0"/>
    <s v="UPI"/>
  </r>
  <r>
    <n v="100684"/>
    <x v="573"/>
    <s v="AD-7346-C"/>
    <s v="Training Cap"/>
    <x v="2"/>
    <x v="1"/>
    <x v="0"/>
    <n v="3"/>
    <n v="59.97"/>
    <n v="19.989999999999998"/>
    <n v="10"/>
    <n v="53.97"/>
    <n v="20.91"/>
    <n v="28"/>
    <x v="0"/>
    <s v="PayPal"/>
  </r>
  <r>
    <n v="100035"/>
    <x v="379"/>
    <s v="AD-1158-A"/>
    <s v="Z.N.E. Hoodie"/>
    <x v="0"/>
    <x v="0"/>
    <x v="0"/>
    <n v="5"/>
    <n v="635.54999999999995"/>
    <n v="127.11"/>
    <n v="0"/>
    <n v="635.54999999999995"/>
    <n v="160.93"/>
    <n v="36"/>
    <x v="0"/>
    <s v="Apple Pay"/>
  </r>
  <r>
    <n v="100824"/>
    <x v="574"/>
    <s v="AD-4671-D"/>
    <s v="Gym Bag"/>
    <x v="2"/>
    <x v="4"/>
    <x v="0"/>
    <n v="3"/>
    <n v="143.25"/>
    <n v="47.75"/>
    <n v="10"/>
    <n v="128.93"/>
    <n v="47.16"/>
    <n v="33"/>
    <x v="0"/>
    <s v="Debit Card"/>
  </r>
  <r>
    <n v="100505"/>
    <x v="263"/>
    <s v="AD-6171-A"/>
    <s v="Training Shorts"/>
    <x v="0"/>
    <x v="0"/>
    <x v="0"/>
    <n v="2"/>
    <n v="66.38"/>
    <n v="33.19"/>
    <n v="5"/>
    <n v="63.06"/>
    <n v="19.12"/>
    <n v="38"/>
    <x v="0"/>
    <s v="Google Pay"/>
  </r>
  <r>
    <n v="100827"/>
    <x v="402"/>
    <s v="AD-3572-C"/>
    <s v="Sports Bottle"/>
    <x v="2"/>
    <x v="4"/>
    <x v="1"/>
    <n v="4"/>
    <n v="48"/>
    <n v="12"/>
    <n v="10"/>
    <n v="43.2"/>
    <n v="13.2"/>
    <n v="16"/>
    <x v="0"/>
    <s v="Cash"/>
  </r>
  <r>
    <n v="101070"/>
    <x v="575"/>
    <s v="AD-2804-A"/>
    <s v="Ultraboost 22"/>
    <x v="1"/>
    <x v="2"/>
    <x v="0"/>
    <n v="5"/>
    <n v="928.40000000000009"/>
    <n v="185.68"/>
    <n v="20"/>
    <n v="742.72"/>
    <n v="207.01"/>
    <n v="24"/>
    <x v="1"/>
    <s v="PayPal"/>
  </r>
  <r>
    <n v="100407"/>
    <x v="576"/>
    <s v="AD-1790-A"/>
    <s v="Sports Bottle"/>
    <x v="2"/>
    <x v="0"/>
    <x v="0"/>
    <n v="3"/>
    <n v="41.43"/>
    <n v="13.81"/>
    <n v="0"/>
    <n v="41.43"/>
    <n v="15.12"/>
    <n v="39"/>
    <x v="1"/>
    <s v="Credit Card"/>
  </r>
  <r>
    <n v="100817"/>
    <x v="432"/>
    <s v="AD-4799-A"/>
    <s v="Training Cap"/>
    <x v="2"/>
    <x v="0"/>
    <x v="3"/>
    <n v="2"/>
    <n v="44.12"/>
    <n v="22.06"/>
    <n v="0"/>
    <n v="44.12"/>
    <n v="9.18"/>
    <n v="25"/>
    <x v="0"/>
    <s v="Google Pay"/>
  </r>
  <r>
    <n v="100537"/>
    <x v="577"/>
    <s v="AD-2497-C"/>
    <s v="Training Cap"/>
    <x v="2"/>
    <x v="4"/>
    <x v="1"/>
    <n v="3"/>
    <n v="64.62"/>
    <n v="21.54"/>
    <n v="0"/>
    <n v="64.62"/>
    <n v="17.09"/>
    <n v="24"/>
    <x v="1"/>
    <s v="Google Pay"/>
  </r>
  <r>
    <n v="100758"/>
    <x v="268"/>
    <s v="AD-1304-B"/>
    <s v="Sports Bottle"/>
    <x v="2"/>
    <x v="1"/>
    <x v="0"/>
    <n v="3"/>
    <n v="45.839999999999996"/>
    <n v="15.28"/>
    <n v="5"/>
    <n v="43.55"/>
    <n v="12.72"/>
    <n v="41"/>
    <x v="1"/>
    <s v="PayPal"/>
  </r>
  <r>
    <n v="101068"/>
    <x v="578"/>
    <s v="AD-9826-D"/>
    <s v="Z.N.E. Hoodie"/>
    <x v="0"/>
    <x v="3"/>
    <x v="3"/>
    <n v="3"/>
    <n v="337.71"/>
    <n v="112.57"/>
    <n v="10"/>
    <n v="303.94"/>
    <n v="119.73"/>
    <n v="16"/>
    <x v="1"/>
    <s v="Google Pay"/>
  </r>
  <r>
    <n v="100892"/>
    <x v="579"/>
    <s v="AD-5909-D"/>
    <s v="Training Cap"/>
    <x v="2"/>
    <x v="3"/>
    <x v="1"/>
    <n v="1"/>
    <n v="23.81"/>
    <n v="23.81"/>
    <n v="0"/>
    <n v="23.81"/>
    <n v="9.19"/>
    <n v="40"/>
    <x v="1"/>
    <s v="Cash"/>
  </r>
  <r>
    <n v="100038"/>
    <x v="452"/>
    <s v="AD-7745-B"/>
    <s v="Copa Sense"/>
    <x v="1"/>
    <x v="0"/>
    <x v="2"/>
    <n v="5"/>
    <n v="819.5"/>
    <n v="163.9"/>
    <n v="0"/>
    <n v="819.5"/>
    <n v="256.39"/>
    <n v="37"/>
    <x v="1"/>
    <s v="Cash"/>
  </r>
  <r>
    <n v="100175"/>
    <x v="580"/>
    <s v="AD-5150-A"/>
    <s v="Adilette Slides"/>
    <x v="1"/>
    <x v="1"/>
    <x v="0"/>
    <n v="1"/>
    <n v="33.53"/>
    <n v="33.53"/>
    <n v="0"/>
    <n v="33.53"/>
    <n v="12.68"/>
    <n v="29"/>
    <x v="1"/>
    <s v="Google Pay"/>
  </r>
  <r>
    <n v="100245"/>
    <x v="49"/>
    <s v="AD-6411-A"/>
    <s v="Originals Backpack"/>
    <x v="2"/>
    <x v="0"/>
    <x v="0"/>
    <n v="6"/>
    <n v="327.42"/>
    <n v="54.57"/>
    <n v="0"/>
    <n v="327.42"/>
    <n v="98"/>
    <n v="39"/>
    <x v="1"/>
    <s v="UPI"/>
  </r>
  <r>
    <n v="100810"/>
    <x v="581"/>
    <s v="AD-2911-A"/>
    <s v="NMD_R1"/>
    <x v="1"/>
    <x v="0"/>
    <x v="0"/>
    <n v="3"/>
    <n v="422.66999999999996"/>
    <n v="140.88999999999999"/>
    <n v="40"/>
    <n v="253.6"/>
    <n v="85.72"/>
    <n v="43"/>
    <x v="1"/>
    <s v="Apple Pay"/>
  </r>
  <r>
    <n v="101084"/>
    <x v="474"/>
    <s v="AD-6830-B"/>
    <s v="Training Shorts"/>
    <x v="0"/>
    <x v="3"/>
    <x v="1"/>
    <n v="4"/>
    <n v="118.68"/>
    <n v="29.67"/>
    <n v="0"/>
    <n v="118.68"/>
    <n v="37.44"/>
    <n v="16"/>
    <x v="1"/>
    <s v="Apple Pay"/>
  </r>
  <r>
    <n v="101077"/>
    <x v="444"/>
    <s v="AD-4724-D"/>
    <s v="Originals Backpack"/>
    <x v="2"/>
    <x v="2"/>
    <x v="1"/>
    <n v="1"/>
    <n v="60.97"/>
    <n v="60.97"/>
    <n v="0"/>
    <n v="60.97"/>
    <n v="14.81"/>
    <n v="29"/>
    <x v="0"/>
    <s v="NetBanking"/>
  </r>
  <r>
    <n v="100784"/>
    <x v="142"/>
    <s v="AD-5068-C"/>
    <s v="Copa Sense"/>
    <x v="1"/>
    <x v="4"/>
    <x v="0"/>
    <n v="5"/>
    <n v="882.2"/>
    <n v="176.44"/>
    <n v="5"/>
    <n v="838.09"/>
    <n v="149.75"/>
    <n v="35"/>
    <x v="1"/>
    <s v="Google Pay"/>
  </r>
  <r>
    <n v="101184"/>
    <x v="444"/>
    <s v="AD-4849-C"/>
    <s v="Gym Bag"/>
    <x v="2"/>
    <x v="4"/>
    <x v="0"/>
    <n v="3"/>
    <n v="149.07"/>
    <n v="49.69"/>
    <n v="5"/>
    <n v="141.62"/>
    <n v="39.880000000000003"/>
    <n v="28"/>
    <x v="1"/>
    <s v="PayPal"/>
  </r>
  <r>
    <n v="100489"/>
    <x v="582"/>
    <s v="AD-2049-C"/>
    <s v="Ultraboost 22"/>
    <x v="1"/>
    <x v="0"/>
    <x v="1"/>
    <n v="4"/>
    <n v="592.96"/>
    <n v="148.24"/>
    <n v="0"/>
    <n v="592.96"/>
    <n v="197.2"/>
    <n v="20"/>
    <x v="0"/>
    <s v="Debit Card"/>
  </r>
  <r>
    <n v="100154"/>
    <x v="583"/>
    <s v="AD-6461-A"/>
    <s v="Sports Bottle"/>
    <x v="2"/>
    <x v="4"/>
    <x v="1"/>
    <n v="6"/>
    <n v="86.28"/>
    <n v="14.38"/>
    <n v="0"/>
    <n v="86.28"/>
    <n v="36.979999999999997"/>
    <n v="42"/>
    <x v="0"/>
    <s v="PayPal"/>
  </r>
  <r>
    <n v="100638"/>
    <x v="584"/>
    <s v="AD-9161-B"/>
    <s v="Originals Backpack"/>
    <x v="2"/>
    <x v="1"/>
    <x v="0"/>
    <n v="5"/>
    <n v="316.35000000000002"/>
    <n v="63.27"/>
    <n v="0"/>
    <n v="316.35000000000002"/>
    <n v="107.19"/>
    <n v="25"/>
    <x v="1"/>
    <s v="Credit Card"/>
  </r>
  <r>
    <n v="100662"/>
    <x v="585"/>
    <s v="AD-1054-D"/>
    <s v="Originals Backpack"/>
    <x v="2"/>
    <x v="0"/>
    <x v="2"/>
    <n v="2"/>
    <n v="126.6"/>
    <n v="63.3"/>
    <n v="5"/>
    <n v="120.27"/>
    <n v="52.04"/>
    <n v="25"/>
    <x v="1"/>
    <s v="UPI"/>
  </r>
  <r>
    <n v="100853"/>
    <x v="491"/>
    <s v="AD-2395-B"/>
    <s v="Ultraboost 22"/>
    <x v="1"/>
    <x v="0"/>
    <x v="1"/>
    <n v="3"/>
    <n v="530.01"/>
    <n v="176.67"/>
    <n v="0"/>
    <n v="530.01"/>
    <n v="197.42"/>
    <n v="18"/>
    <x v="0"/>
    <s v="Debit Card"/>
  </r>
  <r>
    <n v="100287"/>
    <x v="125"/>
    <s v="AD-4519-B"/>
    <s v="Ultraboost 22"/>
    <x v="1"/>
    <x v="2"/>
    <x v="0"/>
    <n v="1"/>
    <n v="153.12"/>
    <n v="153.12"/>
    <n v="0"/>
    <n v="153.12"/>
    <n v="49.61"/>
    <n v="19"/>
    <x v="1"/>
    <s v="Credit Card"/>
  </r>
  <r>
    <n v="100625"/>
    <x v="570"/>
    <s v="AD-5949-D"/>
    <s v="Stan Smith"/>
    <x v="1"/>
    <x v="0"/>
    <x v="0"/>
    <n v="4"/>
    <n v="335.76"/>
    <n v="83.94"/>
    <n v="5"/>
    <n v="318.97000000000003"/>
    <n v="118.43"/>
    <n v="25"/>
    <x v="0"/>
    <s v="Debit Card"/>
  </r>
  <r>
    <n v="101199"/>
    <x v="504"/>
    <s v="AD-4399-D"/>
    <s v="Copa Sense"/>
    <x v="1"/>
    <x v="3"/>
    <x v="1"/>
    <n v="2"/>
    <n v="352.46"/>
    <n v="176.23"/>
    <n v="0"/>
    <n v="352.46"/>
    <n v="120.59"/>
    <n v="36"/>
    <x v="1"/>
    <s v="UPI"/>
  </r>
  <r>
    <n v="100685"/>
    <x v="586"/>
    <s v="AD-1525-A"/>
    <s v="Performance Socks (3-pack)"/>
    <x v="2"/>
    <x v="0"/>
    <x v="3"/>
    <n v="3"/>
    <n v="61.800000000000004"/>
    <n v="20.6"/>
    <n v="0"/>
    <n v="61.8"/>
    <n v="21.17"/>
    <n v="39"/>
    <x v="1"/>
    <s v="PayPal"/>
  </r>
  <r>
    <n v="100872"/>
    <x v="373"/>
    <s v="AD-4137-A"/>
    <s v="Adilette Slides"/>
    <x v="1"/>
    <x v="4"/>
    <x v="0"/>
    <n v="4"/>
    <n v="131.04"/>
    <n v="32.76"/>
    <n v="5"/>
    <n v="124.49"/>
    <n v="35.81"/>
    <n v="27"/>
    <x v="1"/>
    <s v="Cash"/>
  </r>
  <r>
    <n v="100569"/>
    <x v="307"/>
    <s v="AD-9631-A"/>
    <s v="Training Cap"/>
    <x v="2"/>
    <x v="3"/>
    <x v="1"/>
    <n v="5"/>
    <n v="91.95"/>
    <n v="18.39"/>
    <n v="0"/>
    <n v="91.95"/>
    <n v="27.35"/>
    <n v="27"/>
    <x v="0"/>
    <s v="Apple Pay"/>
  </r>
  <r>
    <n v="101143"/>
    <x v="587"/>
    <s v="AD-5422-B"/>
    <s v="Ultraboost Light"/>
    <x v="1"/>
    <x v="3"/>
    <x v="0"/>
    <n v="3"/>
    <n v="424.14"/>
    <n v="141.38"/>
    <n v="10"/>
    <n v="381.73"/>
    <n v="117.96"/>
    <n v="24"/>
    <x v="1"/>
    <s v="Apple Pay"/>
  </r>
  <r>
    <n v="100734"/>
    <x v="200"/>
    <s v="AD-4506-D"/>
    <s v="Adilette Slides"/>
    <x v="1"/>
    <x v="4"/>
    <x v="1"/>
    <n v="2"/>
    <n v="71.02"/>
    <n v="35.51"/>
    <n v="0"/>
    <n v="71.02"/>
    <n v="25.62"/>
    <n v="42"/>
    <x v="1"/>
    <s v="Debit Card"/>
  </r>
  <r>
    <n v="100792"/>
    <x v="215"/>
    <s v="AD-3435-A"/>
    <s v="Predator Freak"/>
    <x v="1"/>
    <x v="2"/>
    <x v="1"/>
    <n v="4"/>
    <n v="1011.56"/>
    <n v="252.89"/>
    <n v="0"/>
    <n v="1011.56"/>
    <n v="324.7"/>
    <n v="25"/>
    <x v="1"/>
    <s v="UPI"/>
  </r>
  <r>
    <n v="100017"/>
    <x v="588"/>
    <s v="AD-2982-B"/>
    <s v="Tiro 23 Track Pants"/>
    <x v="0"/>
    <x v="0"/>
    <x v="0"/>
    <n v="4"/>
    <n v="237.04"/>
    <n v="59.26"/>
    <n v="5"/>
    <n v="225.19"/>
    <n v="57.76"/>
    <n v="18"/>
    <x v="0"/>
    <s v="Google Pay"/>
  </r>
  <r>
    <n v="100127"/>
    <x v="143"/>
    <s v="AD-7240-C"/>
    <s v="NMD_R1"/>
    <x v="1"/>
    <x v="4"/>
    <x v="1"/>
    <n v="2"/>
    <n v="216.88"/>
    <n v="108.44"/>
    <n v="10"/>
    <n v="195.19"/>
    <n v="44.82"/>
    <n v="23"/>
    <x v="0"/>
    <s v="Cash"/>
  </r>
  <r>
    <n v="100322"/>
    <x v="589"/>
    <s v="AD-6067-B"/>
    <s v="Adicolor Hoodie"/>
    <x v="0"/>
    <x v="4"/>
    <x v="0"/>
    <n v="4"/>
    <n v="296.2"/>
    <n v="74.05"/>
    <n v="10"/>
    <n v="266.58"/>
    <n v="85.32"/>
    <n v="22"/>
    <x v="1"/>
    <s v="Credit Card"/>
  </r>
  <r>
    <n v="100255"/>
    <x v="590"/>
    <s v="AD-8916-D"/>
    <s v="Adicolor Hoodie"/>
    <x v="0"/>
    <x v="4"/>
    <x v="0"/>
    <n v="2"/>
    <n v="165.64"/>
    <n v="82.82"/>
    <n v="10"/>
    <n v="149.08000000000001"/>
    <n v="40.590000000000003"/>
    <n v="37"/>
    <x v="1"/>
    <s v="Credit Card"/>
  </r>
  <r>
    <n v="100943"/>
    <x v="591"/>
    <s v="AD-4309-B"/>
    <s v="Originals Backpack"/>
    <x v="2"/>
    <x v="0"/>
    <x v="0"/>
    <n v="5"/>
    <n v="312.89999999999998"/>
    <n v="62.58"/>
    <n v="0"/>
    <n v="312.89999999999998"/>
    <n v="97.62"/>
    <n v="17"/>
    <x v="1"/>
    <s v="NetBanking"/>
  </r>
  <r>
    <n v="101179"/>
    <x v="451"/>
    <s v="AD-2387-A"/>
    <s v="Primegreen Jacket"/>
    <x v="0"/>
    <x v="1"/>
    <x v="1"/>
    <n v="2"/>
    <n v="257.12"/>
    <n v="128.56"/>
    <n v="0"/>
    <n v="257.12"/>
    <n v="82.32"/>
    <n v="35"/>
    <x v="1"/>
    <s v="Credit Card"/>
  </r>
  <r>
    <n v="100190"/>
    <x v="451"/>
    <s v="AD-3114-D"/>
    <s v="Z.N.E. Hoodie"/>
    <x v="0"/>
    <x v="1"/>
    <x v="1"/>
    <n v="1"/>
    <n v="118.28"/>
    <n v="118.28"/>
    <n v="0"/>
    <n v="118.28"/>
    <n v="27.92"/>
    <n v="44"/>
    <x v="1"/>
    <s v="PayPal"/>
  </r>
  <r>
    <n v="100115"/>
    <x v="536"/>
    <s v="AD-2035-D"/>
    <s v="Adicolor Hoodie"/>
    <x v="0"/>
    <x v="0"/>
    <x v="3"/>
    <n v="2"/>
    <n v="135.02000000000001"/>
    <n v="67.510000000000005"/>
    <n v="5"/>
    <n v="128.27000000000001"/>
    <n v="43.33"/>
    <n v="37"/>
    <x v="1"/>
    <s v="UPI"/>
  </r>
  <r>
    <n v="101173"/>
    <x v="592"/>
    <s v="AD-2607-C"/>
    <s v="Training Cap"/>
    <x v="2"/>
    <x v="4"/>
    <x v="1"/>
    <n v="3"/>
    <n v="67.59"/>
    <n v="22.53"/>
    <n v="0"/>
    <n v="67.59"/>
    <n v="25.9"/>
    <n v="32"/>
    <x v="1"/>
    <s v="Apple Pay"/>
  </r>
  <r>
    <n v="100888"/>
    <x v="593"/>
    <s v="AD-1991-B"/>
    <s v="Originals Backpack"/>
    <x v="2"/>
    <x v="0"/>
    <x v="0"/>
    <n v="2"/>
    <n v="117.74"/>
    <n v="58.87"/>
    <n v="5"/>
    <n v="111.85"/>
    <n v="33.72"/>
    <n v="25"/>
    <x v="1"/>
    <s v="Credit Card"/>
  </r>
  <r>
    <n v="100606"/>
    <x v="594"/>
    <s v="AD-3877-B"/>
    <s v="Ultraboost 22"/>
    <x v="1"/>
    <x v="1"/>
    <x v="0"/>
    <n v="4"/>
    <n v="646.24"/>
    <n v="161.56"/>
    <n v="10"/>
    <n v="581.62"/>
    <n v="180"/>
    <n v="31"/>
    <x v="0"/>
    <s v="Credit Card"/>
  </r>
  <r>
    <n v="100180"/>
    <x v="595"/>
    <s v="AD-1939-A"/>
    <s v="Performance Socks (3-pack)"/>
    <x v="2"/>
    <x v="2"/>
    <x v="0"/>
    <n v="2"/>
    <n v="35.299999999999997"/>
    <n v="17.649999999999999"/>
    <n v="10"/>
    <n v="31.77"/>
    <n v="11.27"/>
    <n v="19"/>
    <x v="2"/>
    <s v="NetBanking"/>
  </r>
  <r>
    <n v="100301"/>
    <x v="596"/>
    <s v="AD-5090-B"/>
    <s v="Originals Backpack"/>
    <x v="2"/>
    <x v="3"/>
    <x v="2"/>
    <n v="1"/>
    <n v="63.33"/>
    <n v="63.33"/>
    <n v="0"/>
    <n v="63.33"/>
    <n v="22.58"/>
    <n v="44"/>
    <x v="1"/>
    <s v="PayPal"/>
  </r>
  <r>
    <n v="100496"/>
    <x v="106"/>
    <s v="AD-9813-C"/>
    <s v="Superstar"/>
    <x v="1"/>
    <x v="1"/>
    <x v="0"/>
    <n v="4"/>
    <n v="415.12"/>
    <n v="103.78"/>
    <n v="0"/>
    <n v="415.12"/>
    <n v="115.8"/>
    <n v="30"/>
    <x v="1"/>
    <s v="NetBanking"/>
  </r>
  <r>
    <n v="100348"/>
    <x v="597"/>
    <s v="AD-6224-B"/>
    <s v="Training Cap"/>
    <x v="2"/>
    <x v="0"/>
    <x v="0"/>
    <n v="3"/>
    <n v="65.820000000000007"/>
    <n v="21.94"/>
    <n v="5"/>
    <n v="62.53"/>
    <n v="19.72"/>
    <n v="16"/>
    <x v="1"/>
    <s v="Credit Card"/>
  </r>
  <r>
    <n v="101035"/>
    <x v="438"/>
    <s v="AD-6507-D"/>
    <s v="Ultraboost Light"/>
    <x v="1"/>
    <x v="1"/>
    <x v="1"/>
    <n v="2"/>
    <n v="300.32"/>
    <n v="150.16"/>
    <n v="5"/>
    <n v="285.3"/>
    <n v="104.02"/>
    <n v="24"/>
    <x v="2"/>
    <s v="UPI"/>
  </r>
  <r>
    <n v="100982"/>
    <x v="598"/>
    <s v="AD-7359-D"/>
    <s v="Z.N.E. Hoodie"/>
    <x v="0"/>
    <x v="0"/>
    <x v="0"/>
    <n v="2"/>
    <n v="245.94"/>
    <n v="122.97"/>
    <n v="0"/>
    <n v="245.94"/>
    <n v="78.62"/>
    <n v="26"/>
    <x v="1"/>
    <s v="UPI"/>
  </r>
  <r>
    <n v="100744"/>
    <x v="553"/>
    <s v="AD-7269-C"/>
    <s v="Stan Smith"/>
    <x v="1"/>
    <x v="2"/>
    <x v="1"/>
    <n v="1"/>
    <n v="81.45"/>
    <n v="81.45"/>
    <n v="0"/>
    <n v="81.45"/>
    <n v="26.5"/>
    <n v="45"/>
    <x v="1"/>
    <s v="PayPal"/>
  </r>
  <r>
    <n v="101151"/>
    <x v="599"/>
    <s v="AD-8802-D"/>
    <s v="Stan Smith"/>
    <x v="1"/>
    <x v="4"/>
    <x v="2"/>
    <n v="3"/>
    <n v="268.95000000000005"/>
    <n v="89.65"/>
    <n v="0"/>
    <n v="268.95"/>
    <n v="98.54"/>
    <n v="47"/>
    <x v="1"/>
    <s v="Credit Card"/>
  </r>
  <r>
    <n v="100517"/>
    <x v="600"/>
    <s v="AD-3048-B"/>
    <s v="Training Shorts"/>
    <x v="0"/>
    <x v="1"/>
    <x v="1"/>
    <n v="4"/>
    <n v="127.88"/>
    <n v="31.97"/>
    <n v="0"/>
    <n v="127.88"/>
    <n v="31.84"/>
    <n v="28"/>
    <x v="1"/>
    <s v="Credit Card"/>
  </r>
  <r>
    <n v="100372"/>
    <x v="601"/>
    <s v="AD-2970-D"/>
    <s v="Superstar"/>
    <x v="1"/>
    <x v="2"/>
    <x v="0"/>
    <n v="3"/>
    <n v="270.71999999999997"/>
    <n v="90.24"/>
    <n v="5"/>
    <n v="257.18"/>
    <n v="88.24"/>
    <n v="25"/>
    <x v="0"/>
    <s v="PayPal"/>
  </r>
  <r>
    <n v="100045"/>
    <x v="284"/>
    <s v="AD-6344-D"/>
    <s v="Z.N.E. Hoodie"/>
    <x v="0"/>
    <x v="4"/>
    <x v="2"/>
    <n v="2"/>
    <n v="256.62"/>
    <n v="128.31"/>
    <n v="0"/>
    <n v="256.62"/>
    <n v="64.540000000000006"/>
    <n v="24"/>
    <x v="1"/>
    <s v="Apple Pay"/>
  </r>
  <r>
    <n v="100476"/>
    <x v="493"/>
    <s v="AD-2404-B"/>
    <s v="Copa Sense"/>
    <x v="1"/>
    <x v="1"/>
    <x v="3"/>
    <n v="3"/>
    <n v="471.65999999999997"/>
    <n v="157.22"/>
    <n v="0"/>
    <n v="471.66"/>
    <n v="134.22"/>
    <n v="28"/>
    <x v="0"/>
    <s v="NetBanking"/>
  </r>
  <r>
    <n v="100157"/>
    <x v="602"/>
    <s v="AD-4711-B"/>
    <s v="Training Shorts"/>
    <x v="0"/>
    <x v="3"/>
    <x v="0"/>
    <n v="4"/>
    <n v="108.4"/>
    <n v="27.1"/>
    <n v="5"/>
    <n v="102.98"/>
    <n v="27.81"/>
    <n v="23"/>
    <x v="0"/>
    <s v="UPI"/>
  </r>
  <r>
    <n v="101046"/>
    <x v="24"/>
    <s v="AD-9401-D"/>
    <s v="Essentials Tee"/>
    <x v="0"/>
    <x v="4"/>
    <x v="1"/>
    <n v="1"/>
    <n v="21.96"/>
    <n v="21.96"/>
    <n v="20"/>
    <n v="17.57"/>
    <n v="5.92"/>
    <n v="23"/>
    <x v="0"/>
    <s v="Credit Card"/>
  </r>
  <r>
    <n v="100171"/>
    <x v="542"/>
    <s v="AD-7397-D"/>
    <s v="Superstar"/>
    <x v="1"/>
    <x v="1"/>
    <x v="3"/>
    <n v="3"/>
    <n v="254.21999999999997"/>
    <n v="84.74"/>
    <n v="0"/>
    <n v="254.22"/>
    <n v="79.44"/>
    <n v="42"/>
    <x v="1"/>
    <s v="Credit Card"/>
  </r>
  <r>
    <n v="100016"/>
    <x v="145"/>
    <s v="AD-9835-B"/>
    <s v="Training Cap"/>
    <x v="2"/>
    <x v="4"/>
    <x v="1"/>
    <n v="6"/>
    <n v="123.47999999999999"/>
    <n v="20.58"/>
    <n v="0"/>
    <n v="123.48"/>
    <n v="36.409999999999997"/>
    <n v="30"/>
    <x v="0"/>
    <s v="UPI"/>
  </r>
  <r>
    <n v="100511"/>
    <x v="603"/>
    <s v="AD-5166-D"/>
    <s v="Sports Bottle"/>
    <x v="2"/>
    <x v="4"/>
    <x v="0"/>
    <n v="2"/>
    <n v="34.04"/>
    <n v="17.02"/>
    <n v="0"/>
    <n v="34.04"/>
    <n v="15.97"/>
    <n v="25"/>
    <x v="1"/>
    <s v="UPI"/>
  </r>
  <r>
    <n v="100048"/>
    <x v="141"/>
    <s v="AD-5649-C"/>
    <s v="Adilette Slides"/>
    <x v="1"/>
    <x v="0"/>
    <x v="3"/>
    <n v="2"/>
    <n v="72.48"/>
    <n v="36.24"/>
    <n v="0"/>
    <n v="72.48"/>
    <n v="24.55"/>
    <n v="16"/>
    <x v="0"/>
    <s v="Debit Card"/>
  </r>
  <r>
    <n v="100191"/>
    <x v="263"/>
    <s v="AD-6669-C"/>
    <s v="Ultraboost Light"/>
    <x v="1"/>
    <x v="1"/>
    <x v="0"/>
    <n v="3"/>
    <n v="473.07"/>
    <n v="157.69"/>
    <n v="0"/>
    <n v="473.07"/>
    <n v="148.44"/>
    <n v="23"/>
    <x v="1"/>
    <s v="UPI"/>
  </r>
  <r>
    <n v="100546"/>
    <x v="604"/>
    <s v="AD-1214-B"/>
    <s v="NMD_R1"/>
    <x v="1"/>
    <x v="4"/>
    <x v="0"/>
    <n v="6"/>
    <n v="823.37999999999988"/>
    <n v="137.22999999999999"/>
    <n v="0"/>
    <n v="823.38"/>
    <n v="186.82"/>
    <n v="22"/>
    <x v="0"/>
    <s v="Debit Card"/>
  </r>
  <r>
    <n v="100515"/>
    <x v="285"/>
    <s v="AD-2168-A"/>
    <s v="Copa Sense"/>
    <x v="1"/>
    <x v="2"/>
    <x v="0"/>
    <n v="5"/>
    <n v="790.45"/>
    <n v="158.09"/>
    <n v="0"/>
    <n v="790.45"/>
    <n v="262.02"/>
    <n v="23"/>
    <x v="0"/>
    <s v="Apple Pay"/>
  </r>
  <r>
    <n v="100977"/>
    <x v="505"/>
    <s v="AD-2728-D"/>
    <s v="Sports Bottle"/>
    <x v="2"/>
    <x v="4"/>
    <x v="1"/>
    <n v="2"/>
    <n v="28.78"/>
    <n v="14.39"/>
    <n v="20"/>
    <n v="23.02"/>
    <n v="10.47"/>
    <n v="30"/>
    <x v="0"/>
    <s v="Debit Card"/>
  </r>
  <r>
    <n v="100938"/>
    <x v="128"/>
    <s v="AD-7045-A"/>
    <s v="Z.N.E. Hoodie"/>
    <x v="0"/>
    <x v="4"/>
    <x v="0"/>
    <n v="4"/>
    <n v="473.36"/>
    <n v="118.34"/>
    <n v="10"/>
    <n v="426.02"/>
    <n v="110.94"/>
    <n v="25"/>
    <x v="0"/>
    <s v="NetBanking"/>
  </r>
  <r>
    <n v="100828"/>
    <x v="548"/>
    <s v="AD-6482-B"/>
    <s v="Performance Socks (3-pack)"/>
    <x v="2"/>
    <x v="1"/>
    <x v="2"/>
    <n v="3"/>
    <n v="59.91"/>
    <n v="19.97"/>
    <n v="0"/>
    <n v="59.91"/>
    <n v="15.22"/>
    <n v="23"/>
    <x v="1"/>
    <s v="Cash"/>
  </r>
  <r>
    <n v="100983"/>
    <x v="605"/>
    <s v="AD-2746-D"/>
    <s v="Training Shorts"/>
    <x v="0"/>
    <x v="3"/>
    <x v="0"/>
    <n v="2"/>
    <n v="63.92"/>
    <n v="31.96"/>
    <n v="0"/>
    <n v="63.92"/>
    <n v="12.04"/>
    <n v="25"/>
    <x v="0"/>
    <s v="UPI"/>
  </r>
  <r>
    <n v="100480"/>
    <x v="136"/>
    <s v="AD-8901-B"/>
    <s v="NMD_R1"/>
    <x v="1"/>
    <x v="2"/>
    <x v="1"/>
    <n v="2"/>
    <n v="253.02"/>
    <n v="126.51"/>
    <n v="0"/>
    <n v="253.02"/>
    <n v="65.92"/>
    <n v="26"/>
    <x v="0"/>
    <s v="Debit Card"/>
  </r>
  <r>
    <n v="101128"/>
    <x v="505"/>
    <s v="AD-8144-D"/>
    <s v="Adilette Slides"/>
    <x v="1"/>
    <x v="1"/>
    <x v="1"/>
    <n v="2"/>
    <n v="69.38"/>
    <n v="34.69"/>
    <n v="0"/>
    <n v="69.38"/>
    <n v="19.8"/>
    <n v="29"/>
    <x v="1"/>
    <s v="Google Pay"/>
  </r>
  <r>
    <n v="100283"/>
    <x v="8"/>
    <s v="AD-6110-C"/>
    <s v="Originals Backpack"/>
    <x v="2"/>
    <x v="4"/>
    <x v="2"/>
    <n v="2"/>
    <n v="132.12"/>
    <n v="66.06"/>
    <n v="0"/>
    <n v="132.12"/>
    <n v="38.5"/>
    <n v="50"/>
    <x v="0"/>
    <s v="Cash"/>
  </r>
  <r>
    <n v="101029"/>
    <x v="436"/>
    <s v="AD-9222-D"/>
    <s v="Originals Backpack"/>
    <x v="2"/>
    <x v="1"/>
    <x v="1"/>
    <n v="3"/>
    <n v="182.10000000000002"/>
    <n v="60.7"/>
    <n v="5"/>
    <n v="173"/>
    <n v="65.61"/>
    <n v="34"/>
    <x v="1"/>
    <s v="Apple Pay"/>
  </r>
  <r>
    <n v="100797"/>
    <x v="606"/>
    <s v="AD-8861-D"/>
    <s v="Running Watch Strap"/>
    <x v="2"/>
    <x v="4"/>
    <x v="0"/>
    <n v="4"/>
    <n v="162.56"/>
    <n v="40.64"/>
    <n v="0"/>
    <n v="162.56"/>
    <n v="27.91"/>
    <n v="22"/>
    <x v="1"/>
    <s v="Google Pay"/>
  </r>
  <r>
    <n v="100939"/>
    <x v="340"/>
    <s v="AD-5127-A"/>
    <s v="Adilette Slides"/>
    <x v="1"/>
    <x v="0"/>
    <x v="1"/>
    <n v="5"/>
    <n v="175.3"/>
    <n v="35.06"/>
    <n v="5"/>
    <n v="166.53"/>
    <n v="51.25"/>
    <n v="33"/>
    <x v="2"/>
    <s v="PayPal"/>
  </r>
  <r>
    <n v="100225"/>
    <x v="552"/>
    <s v="AD-5374-C"/>
    <s v="Predator Freak"/>
    <x v="1"/>
    <x v="3"/>
    <x v="0"/>
    <n v="2"/>
    <n v="467.22"/>
    <n v="233.61"/>
    <n v="5"/>
    <n v="443.86"/>
    <n v="130.18"/>
    <n v="28"/>
    <x v="1"/>
    <s v="Google Pay"/>
  </r>
  <r>
    <n v="100026"/>
    <x v="111"/>
    <s v="AD-1936-A"/>
    <s v="Adilette Slides"/>
    <x v="1"/>
    <x v="3"/>
    <x v="1"/>
    <n v="4"/>
    <n v="128.12"/>
    <n v="32.03"/>
    <n v="5"/>
    <n v="121.71"/>
    <n v="39.4"/>
    <n v="23"/>
    <x v="1"/>
    <s v="Cash"/>
  </r>
  <r>
    <n v="100282"/>
    <x v="607"/>
    <s v="AD-8909-A"/>
    <s v="Performance Socks (3-pack)"/>
    <x v="2"/>
    <x v="0"/>
    <x v="1"/>
    <n v="2"/>
    <n v="31.92"/>
    <n v="15.96"/>
    <n v="0"/>
    <n v="31.92"/>
    <n v="6.6"/>
    <n v="17"/>
    <x v="1"/>
    <s v="Credit Card"/>
  </r>
  <r>
    <n v="101149"/>
    <x v="608"/>
    <s v="AD-9412-B"/>
    <s v="Gym Bag"/>
    <x v="2"/>
    <x v="4"/>
    <x v="2"/>
    <n v="1"/>
    <n v="40.53"/>
    <n v="40.53"/>
    <n v="10"/>
    <n v="36.479999999999997"/>
    <n v="14.82"/>
    <n v="25"/>
    <x v="1"/>
    <s v="Google Pay"/>
  </r>
  <r>
    <n v="100437"/>
    <x v="509"/>
    <s v="AD-4275-C"/>
    <s v="Originals Backpack"/>
    <x v="2"/>
    <x v="1"/>
    <x v="0"/>
    <n v="7"/>
    <n v="378.91"/>
    <n v="54.13"/>
    <n v="0"/>
    <n v="378.91"/>
    <n v="96.08"/>
    <n v="26"/>
    <x v="1"/>
    <s v="Credit Card"/>
  </r>
  <r>
    <n v="101167"/>
    <x v="346"/>
    <s v="AD-4122-A"/>
    <s v="Training Shorts"/>
    <x v="0"/>
    <x v="1"/>
    <x v="0"/>
    <n v="4"/>
    <n v="120.16"/>
    <n v="30.04"/>
    <n v="0"/>
    <n v="120.16"/>
    <n v="21.39"/>
    <n v="29"/>
    <x v="2"/>
    <s v="NetBanking"/>
  </r>
  <r>
    <n v="100364"/>
    <x v="609"/>
    <s v="AD-8113-B"/>
    <s v="NMD_R1"/>
    <x v="1"/>
    <x v="2"/>
    <x v="1"/>
    <n v="2"/>
    <n v="234.42"/>
    <n v="117.21"/>
    <n v="0"/>
    <n v="234.42"/>
    <n v="76.150000000000006"/>
    <n v="51"/>
    <x v="1"/>
    <s v="PayPal"/>
  </r>
  <r>
    <n v="100229"/>
    <x v="70"/>
    <s v="AD-9609-D"/>
    <s v="Sports Bottle"/>
    <x v="2"/>
    <x v="0"/>
    <x v="1"/>
    <n v="4"/>
    <n v="68.400000000000006"/>
    <n v="17.100000000000001"/>
    <n v="0"/>
    <n v="68.400000000000006"/>
    <n v="19.13"/>
    <n v="37"/>
    <x v="0"/>
    <s v="Debit Card"/>
  </r>
  <r>
    <n v="100037"/>
    <x v="482"/>
    <s v="AD-3532-B"/>
    <s v="Ultraboost Light"/>
    <x v="1"/>
    <x v="4"/>
    <x v="0"/>
    <n v="5"/>
    <n v="681.4"/>
    <n v="136.28"/>
    <n v="0"/>
    <n v="681.4"/>
    <n v="235.26"/>
    <n v="25"/>
    <x v="1"/>
    <s v="Apple Pay"/>
  </r>
  <r>
    <n v="100669"/>
    <x v="610"/>
    <s v="AD-8720-A"/>
    <s v="Running Watch Strap"/>
    <x v="2"/>
    <x v="4"/>
    <x v="1"/>
    <n v="1"/>
    <n v="36.090000000000003"/>
    <n v="36.090000000000003"/>
    <n v="20"/>
    <n v="28.87"/>
    <n v="6.52"/>
    <n v="30"/>
    <x v="1"/>
    <s v="Credit Card"/>
  </r>
  <r>
    <n v="100749"/>
    <x v="322"/>
    <s v="AD-6779-C"/>
    <s v="Sports Bottle"/>
    <x v="2"/>
    <x v="1"/>
    <x v="0"/>
    <n v="1"/>
    <n v="14.24"/>
    <n v="14.24"/>
    <n v="0"/>
    <n v="14.24"/>
    <n v="3.99"/>
    <n v="25"/>
    <x v="1"/>
    <s v="Apple Pay"/>
  </r>
  <r>
    <n v="101180"/>
    <x v="38"/>
    <s v="AD-1997-A"/>
    <s v="Stan Smith"/>
    <x v="1"/>
    <x v="4"/>
    <x v="0"/>
    <n v="3"/>
    <n v="284.19"/>
    <n v="94.73"/>
    <n v="5"/>
    <n v="269.98"/>
    <n v="77.91"/>
    <n v="22"/>
    <x v="1"/>
    <s v="Cash"/>
  </r>
  <r>
    <n v="100374"/>
    <x v="611"/>
    <s v="AD-7510-C"/>
    <s v="NMD_R1"/>
    <x v="1"/>
    <x v="2"/>
    <x v="2"/>
    <n v="7"/>
    <n v="863.31"/>
    <n v="123.33"/>
    <n v="40"/>
    <n v="517.99"/>
    <n v="166.58"/>
    <n v="23"/>
    <x v="1"/>
    <s v="Apple Pay"/>
  </r>
  <r>
    <n v="100469"/>
    <x v="175"/>
    <s v="AD-7358-D"/>
    <s v="Training Cap"/>
    <x v="2"/>
    <x v="4"/>
    <x v="0"/>
    <n v="3"/>
    <n v="67.800000000000011"/>
    <n v="22.6"/>
    <n v="20"/>
    <n v="54.24"/>
    <n v="14.07"/>
    <n v="21"/>
    <x v="0"/>
    <s v="Cash"/>
  </r>
  <r>
    <n v="100882"/>
    <x v="471"/>
    <s v="AD-8184-A"/>
    <s v="Z.N.E. Hoodie"/>
    <x v="0"/>
    <x v="0"/>
    <x v="1"/>
    <n v="1"/>
    <n v="137.97999999999999"/>
    <n v="137.97999999999999"/>
    <n v="0"/>
    <n v="137.97999999999999"/>
    <n v="46.73"/>
    <n v="35"/>
    <x v="1"/>
    <s v="Debit Card"/>
  </r>
  <r>
    <n v="101181"/>
    <x v="610"/>
    <s v="AD-9115-B"/>
    <s v="Running Watch Strap"/>
    <x v="2"/>
    <x v="0"/>
    <x v="0"/>
    <n v="1"/>
    <n v="36.369999999999997"/>
    <n v="36.369999999999997"/>
    <n v="0"/>
    <n v="36.369999999999997"/>
    <n v="9.7899999999999991"/>
    <n v="24"/>
    <x v="1"/>
    <s v="PayPal"/>
  </r>
  <r>
    <n v="100687"/>
    <x v="612"/>
    <s v="AD-9548-D"/>
    <s v="NMD_R1"/>
    <x v="1"/>
    <x v="0"/>
    <x v="1"/>
    <n v="1"/>
    <n v="138.72999999999999"/>
    <n v="138.72999999999999"/>
    <n v="0"/>
    <n v="138.72999999999999"/>
    <n v="44.9"/>
    <n v="37"/>
    <x v="1"/>
    <s v="Apple Pay"/>
  </r>
  <r>
    <n v="100032"/>
    <x v="613"/>
    <s v="AD-5905-A"/>
    <s v="Tiro 23 Track Pants"/>
    <x v="0"/>
    <x v="2"/>
    <x v="1"/>
    <n v="5"/>
    <n v="294.34999999999997"/>
    <n v="58.87"/>
    <n v="20"/>
    <n v="235.48"/>
    <n v="62.55"/>
    <n v="35"/>
    <x v="0"/>
    <s v="Credit Card"/>
  </r>
  <r>
    <n v="101010"/>
    <x v="614"/>
    <s v="AD-3879-C"/>
    <s v="Primegreen Jacket"/>
    <x v="0"/>
    <x v="4"/>
    <x v="3"/>
    <n v="3"/>
    <n v="372.6"/>
    <n v="124.2"/>
    <n v="0"/>
    <n v="372.6"/>
    <n v="122.28"/>
    <n v="30"/>
    <x v="0"/>
    <s v="Debit Card"/>
  </r>
  <r>
    <n v="101175"/>
    <x v="596"/>
    <s v="AD-9942-B"/>
    <s v="Originals Backpack"/>
    <x v="2"/>
    <x v="1"/>
    <x v="0"/>
    <n v="3"/>
    <n v="182.04"/>
    <n v="60.68"/>
    <n v="0"/>
    <n v="182.04"/>
    <n v="52.42"/>
    <n v="31"/>
    <x v="0"/>
    <s v="Google Pay"/>
  </r>
  <r>
    <n v="100194"/>
    <x v="252"/>
    <s v="AD-1496-D"/>
    <s v="Ultraboost Light"/>
    <x v="1"/>
    <x v="0"/>
    <x v="0"/>
    <n v="5"/>
    <n v="688.1"/>
    <n v="137.62"/>
    <n v="0"/>
    <n v="688.1"/>
    <n v="188.22"/>
    <n v="30"/>
    <x v="1"/>
    <s v="Apple Pay"/>
  </r>
  <r>
    <n v="101105"/>
    <x v="615"/>
    <s v="AD-7884-B"/>
    <s v="Predator Freak"/>
    <x v="1"/>
    <x v="0"/>
    <x v="1"/>
    <n v="4"/>
    <n v="772.96"/>
    <n v="193.24"/>
    <n v="0"/>
    <n v="772.96"/>
    <n v="233.34"/>
    <n v="38"/>
    <x v="1"/>
    <s v="UPI"/>
  </r>
  <r>
    <n v="101113"/>
    <x v="616"/>
    <s v="AD-4957-A"/>
    <s v="Adicolor Hoodie"/>
    <x v="0"/>
    <x v="4"/>
    <x v="1"/>
    <n v="4"/>
    <n v="228.16"/>
    <n v="57.04"/>
    <n v="0"/>
    <n v="228.16"/>
    <n v="80.92"/>
    <n v="47"/>
    <x v="1"/>
    <s v="Apple Pay"/>
  </r>
  <r>
    <n v="101063"/>
    <x v="298"/>
    <s v="AD-7967-B"/>
    <s v="Superstar"/>
    <x v="1"/>
    <x v="0"/>
    <x v="0"/>
    <n v="3"/>
    <n v="286.08"/>
    <n v="95.36"/>
    <n v="0"/>
    <n v="286.08"/>
    <n v="61.27"/>
    <n v="19"/>
    <x v="1"/>
    <s v="PayPal"/>
  </r>
  <r>
    <n v="100503"/>
    <x v="608"/>
    <s v="AD-9041-B"/>
    <s v="Training Cap"/>
    <x v="2"/>
    <x v="1"/>
    <x v="2"/>
    <n v="4"/>
    <n v="92.32"/>
    <n v="23.08"/>
    <n v="5"/>
    <n v="87.7"/>
    <n v="22.7"/>
    <n v="28"/>
    <x v="0"/>
    <s v="NetBanking"/>
  </r>
  <r>
    <n v="100915"/>
    <x v="617"/>
    <s v="AD-6342-A"/>
    <s v="Adicolor Hoodie"/>
    <x v="0"/>
    <x v="0"/>
    <x v="0"/>
    <n v="2"/>
    <n v="134.68"/>
    <n v="67.34"/>
    <n v="5"/>
    <n v="127.95"/>
    <n v="29.9"/>
    <n v="42"/>
    <x v="0"/>
    <s v="NetBanking"/>
  </r>
  <r>
    <n v="100976"/>
    <x v="618"/>
    <s v="AD-8311-A"/>
    <s v="Superstar"/>
    <x v="1"/>
    <x v="0"/>
    <x v="1"/>
    <n v="4"/>
    <n v="374.68"/>
    <n v="93.67"/>
    <n v="5"/>
    <n v="355.95"/>
    <n v="113.89"/>
    <n v="32"/>
    <x v="0"/>
    <s v="PayPal"/>
  </r>
  <r>
    <n v="101182"/>
    <x v="426"/>
    <s v="AD-4288-A"/>
    <s v="Predator Freak"/>
    <x v="1"/>
    <x v="1"/>
    <x v="3"/>
    <n v="1"/>
    <n v="235.5"/>
    <n v="235.5"/>
    <n v="5"/>
    <n v="223.72"/>
    <n v="66.040000000000006"/>
    <n v="37"/>
    <x v="1"/>
    <s v="Google Pay"/>
  </r>
  <r>
    <n v="101087"/>
    <x v="619"/>
    <s v="AD-8331-B"/>
    <s v="Adilette Slides"/>
    <x v="1"/>
    <x v="0"/>
    <x v="1"/>
    <n v="4"/>
    <n v="115.64"/>
    <n v="28.91"/>
    <n v="0"/>
    <n v="115.64"/>
    <n v="27.23"/>
    <n v="32"/>
    <x v="1"/>
    <s v="Cash"/>
  </r>
  <r>
    <n v="100800"/>
    <x v="27"/>
    <s v="AD-3669-D"/>
    <s v="Copa Sense"/>
    <x v="1"/>
    <x v="0"/>
    <x v="0"/>
    <n v="3"/>
    <n v="427.83000000000004"/>
    <n v="142.61000000000001"/>
    <n v="20"/>
    <n v="342.26"/>
    <n v="84.2"/>
    <n v="19"/>
    <x v="1"/>
    <s v="UPI"/>
  </r>
  <r>
    <n v="100579"/>
    <x v="63"/>
    <s v="AD-4016-C"/>
    <s v="Running Watch Strap"/>
    <x v="2"/>
    <x v="1"/>
    <x v="1"/>
    <n v="3"/>
    <n v="125.49"/>
    <n v="41.83"/>
    <n v="0"/>
    <n v="125.49"/>
    <n v="38.53"/>
    <n v="27"/>
    <x v="0"/>
    <s v="Debit Card"/>
  </r>
  <r>
    <n v="100160"/>
    <x v="620"/>
    <s v="AD-4833-B"/>
    <s v="Training Shorts"/>
    <x v="0"/>
    <x v="4"/>
    <x v="0"/>
    <n v="2"/>
    <n v="62.66"/>
    <n v="31.33"/>
    <n v="0"/>
    <n v="62.66"/>
    <n v="15.2"/>
    <n v="27"/>
    <x v="1"/>
    <s v="Google Pay"/>
  </r>
  <r>
    <n v="100680"/>
    <x v="621"/>
    <s v="AD-1709-A"/>
    <s v="Ultraboost Light"/>
    <x v="1"/>
    <x v="1"/>
    <x v="0"/>
    <n v="6"/>
    <n v="841.62000000000012"/>
    <n v="140.27000000000001"/>
    <n v="10"/>
    <n v="757.46"/>
    <n v="185.05"/>
    <n v="33"/>
    <x v="1"/>
    <s v="Google Pay"/>
  </r>
  <r>
    <n v="101197"/>
    <x v="479"/>
    <s v="AD-2409-A"/>
    <s v="Tiro 23 Track Pants"/>
    <x v="0"/>
    <x v="0"/>
    <x v="0"/>
    <n v="4"/>
    <n v="195.6"/>
    <n v="48.9"/>
    <n v="20"/>
    <n v="156.47999999999999"/>
    <n v="41.41"/>
    <n v="19"/>
    <x v="1"/>
    <s v="UPI"/>
  </r>
  <r>
    <n v="100162"/>
    <x v="622"/>
    <s v="AD-5096-A"/>
    <s v="Primegreen Jacket"/>
    <x v="0"/>
    <x v="1"/>
    <x v="0"/>
    <n v="3"/>
    <n v="426.81000000000006"/>
    <n v="142.27000000000001"/>
    <n v="0"/>
    <n v="426.81"/>
    <n v="80.69"/>
    <n v="27"/>
    <x v="1"/>
    <s v="PayPal"/>
  </r>
  <r>
    <n v="100821"/>
    <x v="117"/>
    <s v="AD-3654-B"/>
    <s v="Primegreen Jacket"/>
    <x v="0"/>
    <x v="2"/>
    <x v="1"/>
    <n v="2"/>
    <n v="270.94"/>
    <n v="135.47"/>
    <n v="0"/>
    <n v="270.94"/>
    <n v="78.23"/>
    <n v="34"/>
    <x v="0"/>
    <s v="Google Pay"/>
  </r>
  <r>
    <n v="100705"/>
    <x v="534"/>
    <s v="AD-3986-B"/>
    <s v="Training Shorts"/>
    <x v="0"/>
    <x v="3"/>
    <x v="1"/>
    <n v="4"/>
    <n v="117.12"/>
    <n v="29.28"/>
    <n v="5"/>
    <n v="111.26"/>
    <n v="24.1"/>
    <n v="21"/>
    <x v="1"/>
    <s v="NetBanking"/>
  </r>
  <r>
    <n v="101008"/>
    <x v="623"/>
    <s v="AD-9984-D"/>
    <s v="Originals Backpack"/>
    <x v="2"/>
    <x v="3"/>
    <x v="0"/>
    <n v="4"/>
    <n v="265.92"/>
    <n v="66.48"/>
    <n v="5"/>
    <n v="252.62"/>
    <n v="56.62"/>
    <n v="19"/>
    <x v="1"/>
    <s v="Debit Card"/>
  </r>
  <r>
    <n v="100877"/>
    <x v="624"/>
    <s v="AD-1849-C"/>
    <s v="Sports Bottle"/>
    <x v="2"/>
    <x v="0"/>
    <x v="2"/>
    <n v="2"/>
    <n v="26.14"/>
    <n v="13.07"/>
    <n v="0"/>
    <n v="26.14"/>
    <n v="6.3"/>
    <n v="20"/>
    <x v="1"/>
    <s v="Apple Pay"/>
  </r>
  <r>
    <n v="100895"/>
    <x v="439"/>
    <s v="AD-8215-B"/>
    <s v="Ultraboost 22"/>
    <x v="1"/>
    <x v="4"/>
    <x v="0"/>
    <n v="3"/>
    <n v="526.79999999999995"/>
    <n v="175.6"/>
    <n v="5"/>
    <n v="500.46"/>
    <n v="131.79"/>
    <n v="27"/>
    <x v="1"/>
    <s v="NetBanking"/>
  </r>
  <r>
    <n v="100913"/>
    <x v="580"/>
    <s v="AD-8187-D"/>
    <s v="Superstar"/>
    <x v="1"/>
    <x v="4"/>
    <x v="1"/>
    <n v="2"/>
    <n v="199.34"/>
    <n v="99.67"/>
    <n v="5"/>
    <n v="189.37"/>
    <n v="61.03"/>
    <n v="23"/>
    <x v="0"/>
    <s v="UPI"/>
  </r>
  <r>
    <n v="101198"/>
    <x v="404"/>
    <s v="AD-9955-A"/>
    <s v="Stan Smith"/>
    <x v="1"/>
    <x v="0"/>
    <x v="2"/>
    <n v="3"/>
    <n v="280.64999999999998"/>
    <n v="93.55"/>
    <n v="20"/>
    <n v="224.52"/>
    <n v="71.14"/>
    <n v="33"/>
    <x v="1"/>
    <s v="Apple Pay"/>
  </r>
  <r>
    <n v="100152"/>
    <x v="625"/>
    <s v="AD-7108-C"/>
    <s v="Adicolor Hoodie"/>
    <x v="0"/>
    <x v="3"/>
    <x v="1"/>
    <n v="1"/>
    <n v="77.03"/>
    <n v="77.03"/>
    <n v="0"/>
    <n v="77.03"/>
    <n v="17.43"/>
    <n v="33"/>
    <x v="0"/>
    <s v="Cash"/>
  </r>
  <r>
    <n v="100978"/>
    <x v="200"/>
    <s v="AD-5220-D"/>
    <s v="Ultraboost 22"/>
    <x v="1"/>
    <x v="2"/>
    <x v="2"/>
    <n v="4"/>
    <n v="707.04"/>
    <n v="176.76"/>
    <n v="20"/>
    <n v="565.63"/>
    <n v="143.41999999999999"/>
    <n v="34"/>
    <x v="0"/>
    <s v="UPI"/>
  </r>
  <r>
    <n v="101002"/>
    <x v="513"/>
    <s v="AD-9510-C"/>
    <s v="Sports Bottle"/>
    <x v="2"/>
    <x v="3"/>
    <x v="1"/>
    <n v="2"/>
    <n v="33.06"/>
    <n v="16.53"/>
    <n v="20"/>
    <n v="26.45"/>
    <n v="9.09"/>
    <n v="27"/>
    <x v="1"/>
    <s v="Credit Card"/>
  </r>
  <r>
    <n v="100509"/>
    <x v="626"/>
    <s v="AD-8749-A"/>
    <s v="Adicolor Hoodie"/>
    <x v="0"/>
    <x v="2"/>
    <x v="0"/>
    <n v="4"/>
    <n v="268.68"/>
    <n v="67.17"/>
    <n v="0"/>
    <n v="268.68"/>
    <n v="106.87"/>
    <n v="30"/>
    <x v="0"/>
    <s v="PayPal"/>
  </r>
  <r>
    <n v="100111"/>
    <x v="232"/>
    <s v="AD-3695-C"/>
    <s v="Predator Freak"/>
    <x v="1"/>
    <x v="2"/>
    <x v="0"/>
    <n v="3"/>
    <n v="748.53"/>
    <n v="249.51"/>
    <n v="0"/>
    <n v="748.53"/>
    <n v="257.95999999999998"/>
    <n v="30"/>
    <x v="1"/>
    <s v="NetBanking"/>
  </r>
  <r>
    <n v="100226"/>
    <x v="627"/>
    <s v="AD-2936-D"/>
    <s v="Running Watch Strap"/>
    <x v="2"/>
    <x v="4"/>
    <x v="1"/>
    <n v="3"/>
    <n v="110.69999999999999"/>
    <n v="36.9"/>
    <n v="0"/>
    <n v="110.7"/>
    <n v="40.799999999999997"/>
    <n v="17"/>
    <x v="0"/>
    <s v="Credit Card"/>
  </r>
  <r>
    <n v="100985"/>
    <x v="628"/>
    <s v="AD-6245-C"/>
    <s v="NMD_R1"/>
    <x v="1"/>
    <x v="0"/>
    <x v="2"/>
    <n v="5"/>
    <n v="609.5"/>
    <n v="121.9"/>
    <n v="5"/>
    <n v="579.02"/>
    <n v="163.19999999999999"/>
    <n v="23"/>
    <x v="0"/>
    <s v="Credit Card"/>
  </r>
  <r>
    <n v="100851"/>
    <x v="520"/>
    <s v="AD-7344-B"/>
    <s v="Performance Socks (3-pack)"/>
    <x v="2"/>
    <x v="4"/>
    <x v="1"/>
    <n v="3"/>
    <n v="54.39"/>
    <n v="18.13"/>
    <n v="0"/>
    <n v="54.39"/>
    <n v="11.02"/>
    <n v="25"/>
    <x v="1"/>
    <s v="Apple Pay"/>
  </r>
  <r>
    <n v="100103"/>
    <x v="629"/>
    <s v="AD-3868-A"/>
    <s v="Originals Backpack"/>
    <x v="2"/>
    <x v="1"/>
    <x v="1"/>
    <n v="3"/>
    <n v="166.98"/>
    <n v="55.66"/>
    <n v="10"/>
    <n v="150.28"/>
    <n v="78.88"/>
    <n v="17"/>
    <x v="0"/>
    <s v="PayPal"/>
  </r>
  <r>
    <n v="100421"/>
    <x v="75"/>
    <s v="AD-3571-D"/>
    <s v="Primegreen Jacket"/>
    <x v="0"/>
    <x v="0"/>
    <x v="2"/>
    <n v="3"/>
    <n v="366.93"/>
    <n v="122.31"/>
    <n v="10"/>
    <n v="330.24"/>
    <n v="92.75"/>
    <n v="22"/>
    <x v="0"/>
    <s v="Credit Card"/>
  </r>
  <r>
    <n v="100419"/>
    <x v="83"/>
    <s v="AD-1202-B"/>
    <s v="Training Cap"/>
    <x v="2"/>
    <x v="1"/>
    <x v="0"/>
    <n v="3"/>
    <n v="65.64"/>
    <n v="21.88"/>
    <n v="10"/>
    <n v="59.08"/>
    <n v="16.36"/>
    <n v="17"/>
    <x v="1"/>
    <s v="Cash"/>
  </r>
  <r>
    <n v="100624"/>
    <x v="630"/>
    <s v="AD-6711-B"/>
    <s v="Ultraboost 22"/>
    <x v="1"/>
    <x v="4"/>
    <x v="1"/>
    <n v="1"/>
    <n v="190.17"/>
    <n v="190.17"/>
    <n v="10"/>
    <n v="171.15"/>
    <n v="49.27"/>
    <n v="27"/>
    <x v="0"/>
    <s v="NetBanking"/>
  </r>
  <r>
    <n v="100586"/>
    <x v="90"/>
    <s v="AD-1643-D"/>
    <s v="Stan Smith"/>
    <x v="1"/>
    <x v="0"/>
    <x v="0"/>
    <n v="3"/>
    <n v="255.84"/>
    <n v="85.28"/>
    <n v="5"/>
    <n v="243.05"/>
    <n v="78.3"/>
    <n v="28"/>
    <x v="2"/>
    <s v="Apple Pay"/>
  </r>
  <r>
    <n v="101060"/>
    <x v="597"/>
    <s v="AD-1393-B"/>
    <s v="Tiro 23 Track Pants"/>
    <x v="0"/>
    <x v="2"/>
    <x v="0"/>
    <n v="3"/>
    <n v="174.14999999999998"/>
    <n v="58.05"/>
    <n v="10"/>
    <n v="156.72999999999999"/>
    <n v="50.62"/>
    <n v="30"/>
    <x v="1"/>
    <s v="UPI"/>
  </r>
  <r>
    <n v="100919"/>
    <x v="409"/>
    <s v="AD-7039-A"/>
    <s v="Primegreen Jacket"/>
    <x v="0"/>
    <x v="4"/>
    <x v="1"/>
    <n v="2"/>
    <n v="247.5"/>
    <n v="123.75"/>
    <n v="5"/>
    <n v="235.12"/>
    <n v="53.12"/>
    <n v="34"/>
    <x v="1"/>
    <s v="Credit Card"/>
  </r>
  <r>
    <n v="100672"/>
    <x v="360"/>
    <s v="AD-6268-B"/>
    <s v="Z.N.E. Hoodie"/>
    <x v="0"/>
    <x v="3"/>
    <x v="1"/>
    <n v="6"/>
    <n v="792.54"/>
    <n v="132.09"/>
    <n v="0"/>
    <n v="792.54"/>
    <n v="276.43"/>
    <n v="32"/>
    <x v="1"/>
    <s v="PayPal"/>
  </r>
  <r>
    <n v="100119"/>
    <x v="631"/>
    <s v="AD-1992-D"/>
    <s v="Adicolor Hoodie"/>
    <x v="0"/>
    <x v="4"/>
    <x v="1"/>
    <n v="5"/>
    <n v="387.65"/>
    <n v="77.53"/>
    <n v="0"/>
    <n v="387.65"/>
    <n v="167.59"/>
    <n v="34"/>
    <x v="1"/>
    <s v="Cash"/>
  </r>
  <r>
    <n v="100053"/>
    <x v="632"/>
    <s v="AD-5543-D"/>
    <s v="Sports Bottle"/>
    <x v="2"/>
    <x v="4"/>
    <x v="2"/>
    <n v="4"/>
    <n v="60.36"/>
    <n v="15.09"/>
    <n v="5"/>
    <n v="57.34"/>
    <n v="16.97"/>
    <n v="31"/>
    <x v="1"/>
    <s v="UPI"/>
  </r>
  <r>
    <n v="100151"/>
    <x v="361"/>
    <s v="AD-9266-B"/>
    <s v="Predator Freak"/>
    <x v="1"/>
    <x v="1"/>
    <x v="2"/>
    <n v="1"/>
    <n v="228.82"/>
    <n v="228.82"/>
    <n v="0"/>
    <n v="228.82"/>
    <n v="71.19"/>
    <n v="26"/>
    <x v="0"/>
    <s v="Debit Card"/>
  </r>
  <r>
    <n v="100403"/>
    <x v="68"/>
    <s v="AD-3736-A"/>
    <s v="Adicolor Hoodie"/>
    <x v="0"/>
    <x v="2"/>
    <x v="0"/>
    <n v="3"/>
    <n v="187.29"/>
    <n v="62.43"/>
    <n v="20"/>
    <n v="149.83000000000001"/>
    <n v="43.51"/>
    <n v="31"/>
    <x v="1"/>
    <s v="NetBanking"/>
  </r>
  <r>
    <n v="101188"/>
    <x v="161"/>
    <s v="AD-1558-D"/>
    <s v="Originals Backpack"/>
    <x v="2"/>
    <x v="4"/>
    <x v="0"/>
    <n v="1"/>
    <n v="53.84"/>
    <n v="53.84"/>
    <n v="10"/>
    <n v="48.46"/>
    <n v="18.420000000000002"/>
    <n v="29"/>
    <x v="1"/>
    <s v="NetBanking"/>
  </r>
  <r>
    <n v="100207"/>
    <x v="548"/>
    <s v="AD-6040-A"/>
    <s v="Running Watch Strap"/>
    <x v="2"/>
    <x v="0"/>
    <x v="0"/>
    <n v="1"/>
    <n v="38.24"/>
    <n v="38.24"/>
    <n v="5"/>
    <n v="36.33"/>
    <n v="13.84"/>
    <n v="30"/>
    <x v="0"/>
    <s v="Apple Pay"/>
  </r>
  <r>
    <n v="101134"/>
    <x v="633"/>
    <s v="AD-6268-B"/>
    <s v="Z.N.E. Hoodie"/>
    <x v="0"/>
    <x v="1"/>
    <x v="0"/>
    <n v="3"/>
    <n v="436.08000000000004"/>
    <n v="145.36000000000001"/>
    <n v="10"/>
    <n v="392.47"/>
    <n v="123.98"/>
    <n v="48"/>
    <x v="1"/>
    <s v="Google Pay"/>
  </r>
  <r>
    <n v="100658"/>
    <x v="493"/>
    <s v="AD-3923-D"/>
    <s v="Essentials Tee"/>
    <x v="0"/>
    <x v="4"/>
    <x v="3"/>
    <n v="2"/>
    <n v="51.6"/>
    <n v="25.8"/>
    <n v="20"/>
    <n v="41.28"/>
    <n v="9.51"/>
    <n v="40"/>
    <x v="1"/>
    <s v="Apple Pay"/>
  </r>
  <r>
    <n v="101096"/>
    <x v="634"/>
    <s v="AD-8096-B"/>
    <s v="Sports Bottle"/>
    <x v="2"/>
    <x v="1"/>
    <x v="0"/>
    <n v="2"/>
    <n v="25.52"/>
    <n v="12.76"/>
    <n v="0"/>
    <n v="25.52"/>
    <n v="9.16"/>
    <n v="22"/>
    <x v="0"/>
    <s v="Apple Pay"/>
  </r>
  <r>
    <n v="100232"/>
    <x v="635"/>
    <s v="AD-6049-A"/>
    <s v="Ultraboost Light"/>
    <x v="1"/>
    <x v="1"/>
    <x v="1"/>
    <n v="1"/>
    <n v="147.78"/>
    <n v="147.78"/>
    <n v="5"/>
    <n v="140.38999999999999"/>
    <n v="41.21"/>
    <n v="39"/>
    <x v="1"/>
    <s v="Google Pay"/>
  </r>
  <r>
    <n v="100008"/>
    <x v="393"/>
    <s v="AD-4483-D"/>
    <s v="Ultraboost Light"/>
    <x v="1"/>
    <x v="1"/>
    <x v="0"/>
    <n v="2"/>
    <n v="305.24"/>
    <n v="152.62"/>
    <n v="0"/>
    <n v="305.24"/>
    <n v="105.03"/>
    <n v="21"/>
    <x v="0"/>
    <s v="Cash"/>
  </r>
  <r>
    <n v="100159"/>
    <x v="166"/>
    <s v="AD-8170-A"/>
    <s v="Primegreen Jacket"/>
    <x v="0"/>
    <x v="4"/>
    <x v="1"/>
    <n v="3"/>
    <n v="436.56000000000006"/>
    <n v="145.52000000000001"/>
    <n v="20"/>
    <n v="349.25"/>
    <n v="86.95"/>
    <n v="25"/>
    <x v="0"/>
    <s v="PayPal"/>
  </r>
  <r>
    <n v="100036"/>
    <x v="500"/>
    <s v="AD-1685-C"/>
    <s v="Predator Freak"/>
    <x v="1"/>
    <x v="2"/>
    <x v="1"/>
    <n v="4"/>
    <n v="895.08"/>
    <n v="223.77"/>
    <n v="0"/>
    <n v="895.08"/>
    <n v="212.77"/>
    <n v="30"/>
    <x v="1"/>
    <s v="PayPal"/>
  </r>
  <r>
    <n v="100452"/>
    <x v="29"/>
    <s v="AD-8391-D"/>
    <s v="Essentials Tee"/>
    <x v="0"/>
    <x v="0"/>
    <x v="0"/>
    <n v="1"/>
    <n v="22.4"/>
    <n v="22.4"/>
    <n v="0"/>
    <n v="22.4"/>
    <n v="7.39"/>
    <n v="39"/>
    <x v="1"/>
    <s v="Apple Pay"/>
  </r>
  <r>
    <n v="100651"/>
    <x v="359"/>
    <s v="AD-5466-C"/>
    <s v="Gym Bag"/>
    <x v="2"/>
    <x v="4"/>
    <x v="2"/>
    <n v="5"/>
    <n v="227.15"/>
    <n v="45.43"/>
    <n v="0"/>
    <n v="227.15"/>
    <n v="90.51"/>
    <n v="16"/>
    <x v="0"/>
    <s v="Apple Pay"/>
  </r>
  <r>
    <n v="100253"/>
    <x v="636"/>
    <s v="AD-4015-A"/>
    <s v="Training Cap"/>
    <x v="2"/>
    <x v="0"/>
    <x v="0"/>
    <n v="1"/>
    <n v="21.28"/>
    <n v="21.28"/>
    <n v="5"/>
    <n v="20.22"/>
    <n v="5.8"/>
    <n v="27"/>
    <x v="1"/>
    <s v="Google Pay"/>
  </r>
  <r>
    <n v="100303"/>
    <x v="637"/>
    <s v="AD-7046-D"/>
    <s v="Superstar"/>
    <x v="1"/>
    <x v="2"/>
    <x v="0"/>
    <n v="4"/>
    <n v="441.12"/>
    <n v="110.28"/>
    <n v="0"/>
    <n v="441.12"/>
    <n v="163.15"/>
    <n v="30"/>
    <x v="1"/>
    <s v="NetBanking"/>
  </r>
  <r>
    <n v="100896"/>
    <x v="82"/>
    <s v="AD-3853-B"/>
    <s v="Running Watch Strap"/>
    <x v="2"/>
    <x v="1"/>
    <x v="3"/>
    <n v="3"/>
    <n v="111.51"/>
    <n v="37.17"/>
    <n v="0"/>
    <n v="111.51"/>
    <n v="32.729999999999997"/>
    <n v="33"/>
    <x v="1"/>
    <s v="NetBanking"/>
  </r>
  <r>
    <n v="101048"/>
    <x v="399"/>
    <s v="AD-5430-A"/>
    <s v="Sports Bottle"/>
    <x v="2"/>
    <x v="4"/>
    <x v="0"/>
    <n v="2"/>
    <n v="30.28"/>
    <n v="15.14"/>
    <n v="20"/>
    <n v="24.22"/>
    <n v="8.77"/>
    <n v="28"/>
    <x v="0"/>
    <s v="PayPal"/>
  </r>
  <r>
    <n v="100880"/>
    <x v="312"/>
    <s v="AD-1456-D"/>
    <s v="Superstar"/>
    <x v="1"/>
    <x v="4"/>
    <x v="0"/>
    <n v="5"/>
    <n v="496.95"/>
    <n v="99.39"/>
    <n v="0"/>
    <n v="496.95"/>
    <n v="145.88999999999999"/>
    <n v="33"/>
    <x v="1"/>
    <s v="Debit Card"/>
  </r>
  <r>
    <n v="100571"/>
    <x v="638"/>
    <s v="AD-7332-B"/>
    <s v="Essentials Tee"/>
    <x v="0"/>
    <x v="2"/>
    <x v="0"/>
    <n v="2"/>
    <n v="48.42"/>
    <n v="24.21"/>
    <n v="0"/>
    <n v="48.42"/>
    <n v="13.29"/>
    <n v="25"/>
    <x v="1"/>
    <s v="NetBanking"/>
  </r>
  <r>
    <n v="100623"/>
    <x v="326"/>
    <s v="AD-6320-D"/>
    <s v="NMD_R1"/>
    <x v="1"/>
    <x v="1"/>
    <x v="0"/>
    <n v="3"/>
    <n v="432.63"/>
    <n v="144.21"/>
    <n v="40"/>
    <n v="259.58"/>
    <n v="84.4"/>
    <n v="44"/>
    <x v="0"/>
    <s v="Cash"/>
  </r>
  <r>
    <n v="101144"/>
    <x v="639"/>
    <s v="AD-8320-A"/>
    <s v="Predator Freak"/>
    <x v="1"/>
    <x v="4"/>
    <x v="0"/>
    <n v="3"/>
    <n v="686.93999999999994"/>
    <n v="228.98"/>
    <n v="0"/>
    <n v="686.94"/>
    <n v="181.13"/>
    <n v="34"/>
    <x v="1"/>
    <s v="Apple Pay"/>
  </r>
  <r>
    <n v="101030"/>
    <x v="529"/>
    <s v="AD-4874-A"/>
    <s v="Stan Smith"/>
    <x v="1"/>
    <x v="0"/>
    <x v="0"/>
    <n v="5"/>
    <n v="430.6"/>
    <n v="86.12"/>
    <n v="0"/>
    <n v="430.6"/>
    <n v="99.43"/>
    <n v="20"/>
    <x v="1"/>
    <s v="Credit Card"/>
  </r>
  <r>
    <n v="101145"/>
    <x v="466"/>
    <s v="AD-4700-A"/>
    <s v="Gym Bag"/>
    <x v="2"/>
    <x v="1"/>
    <x v="1"/>
    <n v="3"/>
    <n v="127.14000000000001"/>
    <n v="42.38"/>
    <n v="20"/>
    <n v="101.71"/>
    <n v="28.14"/>
    <n v="33"/>
    <x v="1"/>
    <s v="Google Pay"/>
  </r>
  <r>
    <n v="100262"/>
    <x v="304"/>
    <s v="AD-5903-B"/>
    <s v="Adilette Slides"/>
    <x v="1"/>
    <x v="0"/>
    <x v="1"/>
    <n v="5"/>
    <n v="205.2"/>
    <n v="41.04"/>
    <n v="0"/>
    <n v="205.2"/>
    <n v="55.35"/>
    <n v="20"/>
    <x v="1"/>
    <s v="Debit Card"/>
  </r>
  <r>
    <n v="100610"/>
    <x v="640"/>
    <s v="AD-4070-A"/>
    <s v="Ultraboost 22"/>
    <x v="1"/>
    <x v="1"/>
    <x v="1"/>
    <n v="3"/>
    <n v="568.20000000000005"/>
    <n v="189.4"/>
    <n v="5"/>
    <n v="539.79"/>
    <n v="131.22999999999999"/>
    <n v="22"/>
    <x v="1"/>
    <s v="Apple Pay"/>
  </r>
  <r>
    <n v="100297"/>
    <x v="641"/>
    <s v="AD-5877-A"/>
    <s v="Ultraboost Light"/>
    <x v="1"/>
    <x v="1"/>
    <x v="0"/>
    <n v="2"/>
    <n v="312.38"/>
    <n v="156.19"/>
    <n v="0"/>
    <n v="312.38"/>
    <n v="69.31"/>
    <n v="25"/>
    <x v="1"/>
    <s v="UPI"/>
  </r>
  <r>
    <n v="100989"/>
    <x v="642"/>
    <s v="AD-5626-B"/>
    <s v="Originals Backpack"/>
    <x v="2"/>
    <x v="3"/>
    <x v="1"/>
    <n v="6"/>
    <n v="378.96"/>
    <n v="63.16"/>
    <n v="0"/>
    <n v="378.96"/>
    <n v="109"/>
    <n v="37"/>
    <x v="1"/>
    <s v="NetBanking"/>
  </r>
  <r>
    <n v="100414"/>
    <x v="76"/>
    <s v="AD-2898-A"/>
    <s v="Copa Sense"/>
    <x v="1"/>
    <x v="2"/>
    <x v="0"/>
    <n v="4"/>
    <n v="648.32000000000005"/>
    <n v="162.08000000000001"/>
    <n v="0"/>
    <n v="648.32000000000005"/>
    <n v="195.84"/>
    <n v="30"/>
    <x v="0"/>
    <s v="Apple Pay"/>
  </r>
  <r>
    <n v="100150"/>
    <x v="643"/>
    <s v="AD-6267-D"/>
    <s v="Running Watch Strap"/>
    <x v="2"/>
    <x v="0"/>
    <x v="2"/>
    <n v="5"/>
    <n v="199.35"/>
    <n v="39.869999999999997"/>
    <n v="0"/>
    <n v="199.35"/>
    <n v="75.3"/>
    <n v="18"/>
    <x v="1"/>
    <s v="UPI"/>
  </r>
  <r>
    <n v="100945"/>
    <x v="494"/>
    <s v="AD-1388-B"/>
    <s v="Z.N.E. Hoodie"/>
    <x v="0"/>
    <x v="0"/>
    <x v="1"/>
    <n v="5"/>
    <n v="561"/>
    <n v="112.2"/>
    <n v="0"/>
    <n v="561"/>
    <n v="134.72"/>
    <n v="16"/>
    <x v="0"/>
    <s v="NetBanking"/>
  </r>
  <r>
    <n v="100472"/>
    <x v="126"/>
    <s v="AD-8207-B"/>
    <s v="Training Shorts"/>
    <x v="0"/>
    <x v="1"/>
    <x v="1"/>
    <n v="3"/>
    <n v="88.35"/>
    <n v="29.45"/>
    <n v="5"/>
    <n v="83.93"/>
    <n v="19.21"/>
    <n v="33"/>
    <x v="1"/>
    <s v="PayPal"/>
  </r>
  <r>
    <n v="100952"/>
    <x v="254"/>
    <s v="AD-5215-D"/>
    <s v="Superstar"/>
    <x v="1"/>
    <x v="2"/>
    <x v="1"/>
    <n v="4"/>
    <n v="382.64"/>
    <n v="95.66"/>
    <n v="0"/>
    <n v="382.64"/>
    <n v="106.68"/>
    <n v="39"/>
    <x v="1"/>
    <s v="PayPal"/>
  </r>
  <r>
    <n v="100987"/>
    <x v="48"/>
    <s v="AD-1861-B"/>
    <s v="Primegreen Jacket"/>
    <x v="0"/>
    <x v="0"/>
    <x v="0"/>
    <n v="4"/>
    <n v="592.44000000000005"/>
    <n v="148.11000000000001"/>
    <n v="10"/>
    <n v="533.20000000000005"/>
    <n v="136.19"/>
    <n v="36"/>
    <x v="0"/>
    <s v="UPI"/>
  </r>
  <r>
    <n v="100778"/>
    <x v="637"/>
    <s v="AD-5616-B"/>
    <s v="Training Cap"/>
    <x v="2"/>
    <x v="4"/>
    <x v="0"/>
    <n v="3"/>
    <n v="64.59"/>
    <n v="21.53"/>
    <n v="0"/>
    <n v="64.59"/>
    <n v="13.01"/>
    <n v="26"/>
    <x v="0"/>
    <s v="Cash"/>
  </r>
  <r>
    <n v="100640"/>
    <x v="273"/>
    <s v="AD-8617-A"/>
    <s v="Running Watch Strap"/>
    <x v="2"/>
    <x v="0"/>
    <x v="0"/>
    <n v="4"/>
    <n v="152.96"/>
    <n v="38.24"/>
    <n v="5"/>
    <n v="145.31"/>
    <n v="46.46"/>
    <n v="25"/>
    <x v="0"/>
    <s v="NetBanking"/>
  </r>
  <r>
    <n v="101189"/>
    <x v="644"/>
    <s v="AD-6861-B"/>
    <s v="Training Shorts"/>
    <x v="0"/>
    <x v="1"/>
    <x v="1"/>
    <n v="3"/>
    <n v="90.6"/>
    <n v="30.2"/>
    <n v="0"/>
    <n v="90.6"/>
    <n v="23.02"/>
    <n v="44"/>
    <x v="1"/>
    <s v="PayPal"/>
  </r>
  <r>
    <n v="101142"/>
    <x v="364"/>
    <s v="AD-1860-C"/>
    <s v="Originals Backpack"/>
    <x v="2"/>
    <x v="4"/>
    <x v="1"/>
    <n v="3"/>
    <n v="190.14000000000001"/>
    <n v="63.38"/>
    <n v="20"/>
    <n v="152.11000000000001"/>
    <n v="48.89"/>
    <n v="31"/>
    <x v="0"/>
    <s v="Credit Card"/>
  </r>
  <r>
    <n v="100550"/>
    <x v="645"/>
    <s v="AD-2705-B"/>
    <s v="Stan Smith"/>
    <x v="1"/>
    <x v="0"/>
    <x v="1"/>
    <n v="3"/>
    <n v="261.60000000000002"/>
    <n v="87.2"/>
    <n v="0"/>
    <n v="261.60000000000002"/>
    <n v="63.47"/>
    <n v="16"/>
    <x v="0"/>
    <s v="Apple Pay"/>
  </r>
  <r>
    <n v="100639"/>
    <x v="429"/>
    <s v="AD-8917-C"/>
    <s v="Gym Bag"/>
    <x v="2"/>
    <x v="2"/>
    <x v="1"/>
    <n v="1"/>
    <n v="48.04"/>
    <n v="48.04"/>
    <n v="40"/>
    <n v="28.82"/>
    <n v="13.53"/>
    <n v="23"/>
    <x v="1"/>
    <s v="Credit Card"/>
  </r>
  <r>
    <n v="100935"/>
    <x v="445"/>
    <s v="AD-4613-A"/>
    <s v="Superstar"/>
    <x v="1"/>
    <x v="4"/>
    <x v="0"/>
    <n v="1"/>
    <n v="76.73"/>
    <n v="76.73"/>
    <n v="10"/>
    <n v="69.06"/>
    <n v="23.17"/>
    <n v="54"/>
    <x v="0"/>
    <s v="Debit Card"/>
  </r>
  <r>
    <n v="100928"/>
    <x v="646"/>
    <s v="AD-7244-C"/>
    <s v="Performance Socks (3-pack)"/>
    <x v="2"/>
    <x v="4"/>
    <x v="0"/>
    <n v="3"/>
    <n v="55.050000000000004"/>
    <n v="18.350000000000001"/>
    <n v="20"/>
    <n v="44.04"/>
    <n v="18.399999999999999"/>
    <n v="38"/>
    <x v="1"/>
    <s v="Google Pay"/>
  </r>
  <r>
    <n v="100488"/>
    <x v="647"/>
    <s v="AD-3633-D"/>
    <s v="Copa Sense"/>
    <x v="1"/>
    <x v="1"/>
    <x v="1"/>
    <n v="1"/>
    <n v="143.94"/>
    <n v="143.94"/>
    <n v="10"/>
    <n v="129.55000000000001"/>
    <n v="29.34"/>
    <n v="25"/>
    <x v="0"/>
    <s v="Credit Card"/>
  </r>
  <r>
    <n v="100819"/>
    <x v="648"/>
    <s v="AD-4149-D"/>
    <s v="NMD_R1"/>
    <x v="1"/>
    <x v="1"/>
    <x v="1"/>
    <n v="2"/>
    <n v="281.92"/>
    <n v="140.96"/>
    <n v="0"/>
    <n v="281.92"/>
    <n v="97.1"/>
    <n v="32"/>
    <x v="1"/>
    <s v="NetBanking"/>
  </r>
  <r>
    <n v="100710"/>
    <x v="609"/>
    <s v="AD-1406-D"/>
    <s v="Stan Smith"/>
    <x v="1"/>
    <x v="2"/>
    <x v="0"/>
    <n v="2"/>
    <n v="151.12"/>
    <n v="75.56"/>
    <n v="0"/>
    <n v="151.12"/>
    <n v="33.24"/>
    <n v="22"/>
    <x v="0"/>
    <s v="NetBanking"/>
  </r>
  <r>
    <n v="101080"/>
    <x v="5"/>
    <s v="AD-5422-A"/>
    <s v="Primegreen Jacket"/>
    <x v="0"/>
    <x v="4"/>
    <x v="2"/>
    <n v="2"/>
    <n v="237.32"/>
    <n v="118.66"/>
    <n v="0"/>
    <n v="237.32"/>
    <n v="70.12"/>
    <n v="24"/>
    <x v="0"/>
    <s v="UPI"/>
  </r>
  <r>
    <n v="100147"/>
    <x v="490"/>
    <s v="AD-6179-B"/>
    <s v="Running Watch Strap"/>
    <x v="2"/>
    <x v="1"/>
    <x v="3"/>
    <n v="2"/>
    <n v="83.98"/>
    <n v="41.99"/>
    <n v="0"/>
    <n v="83.98"/>
    <n v="29.95"/>
    <n v="34"/>
    <x v="0"/>
    <s v="Cash"/>
  </r>
  <r>
    <n v="100146"/>
    <x v="649"/>
    <s v="AD-3902-D"/>
    <s v="Stan Smith"/>
    <x v="1"/>
    <x v="4"/>
    <x v="1"/>
    <n v="3"/>
    <n v="232.79999999999998"/>
    <n v="77.599999999999994"/>
    <n v="10"/>
    <n v="209.52"/>
    <n v="72.59"/>
    <n v="29"/>
    <x v="0"/>
    <s v="Debit Card"/>
  </r>
  <r>
    <n v="101174"/>
    <x v="650"/>
    <s v="AD-4268-C"/>
    <s v="Tiro 23 Track Pants"/>
    <x v="0"/>
    <x v="4"/>
    <x v="0"/>
    <n v="2"/>
    <n v="106.6"/>
    <n v="53.3"/>
    <n v="0"/>
    <n v="106.6"/>
    <n v="22.83"/>
    <n v="32"/>
    <x v="0"/>
    <s v="PayPal"/>
  </r>
  <r>
    <n v="100962"/>
    <x v="651"/>
    <s v="AD-6047-A"/>
    <s v="Running Watch Strap"/>
    <x v="2"/>
    <x v="1"/>
    <x v="0"/>
    <n v="5"/>
    <n v="194.60000000000002"/>
    <n v="38.92"/>
    <n v="0"/>
    <n v="194.6"/>
    <n v="66.099999999999994"/>
    <n v="33"/>
    <x v="0"/>
    <s v="Apple Pay"/>
  </r>
  <r>
    <n v="100345"/>
    <x v="101"/>
    <s v="AD-1567-B"/>
    <s v="Originals Backpack"/>
    <x v="2"/>
    <x v="4"/>
    <x v="0"/>
    <n v="1"/>
    <n v="57.64"/>
    <n v="57.64"/>
    <n v="20"/>
    <n v="46.11"/>
    <n v="14.49"/>
    <n v="24"/>
    <x v="1"/>
    <s v="PayPal"/>
  </r>
  <r>
    <n v="100402"/>
    <x v="403"/>
    <s v="AD-1293-A"/>
    <s v="Sports Bottle"/>
    <x v="2"/>
    <x v="1"/>
    <x v="0"/>
    <n v="2"/>
    <n v="24.82"/>
    <n v="12.41"/>
    <n v="20"/>
    <n v="19.86"/>
    <n v="6.91"/>
    <n v="37"/>
    <x v="1"/>
    <s v="UPI"/>
  </r>
  <r>
    <n v="100931"/>
    <x v="397"/>
    <s v="AD-3759-A"/>
    <s v="Copa Sense"/>
    <x v="1"/>
    <x v="4"/>
    <x v="0"/>
    <n v="4"/>
    <n v="697.32"/>
    <n v="174.33"/>
    <n v="20"/>
    <n v="557.86"/>
    <n v="139.22999999999999"/>
    <n v="16"/>
    <x v="1"/>
    <s v="Apple Pay"/>
  </r>
  <r>
    <n v="100954"/>
    <x v="111"/>
    <s v="AD-7812-D"/>
    <s v="Adilette Slides"/>
    <x v="1"/>
    <x v="2"/>
    <x v="1"/>
    <n v="2"/>
    <n v="67.2"/>
    <n v="33.6"/>
    <n v="10"/>
    <n v="60.48"/>
    <n v="17.829999999999998"/>
    <n v="32"/>
    <x v="1"/>
    <s v="Apple Pay"/>
  </r>
  <r>
    <n v="101124"/>
    <x v="234"/>
    <s v="AD-1515-A"/>
    <s v="Z.N.E. Hoodie"/>
    <x v="0"/>
    <x v="1"/>
    <x v="0"/>
    <n v="4"/>
    <n v="491.8"/>
    <n v="122.95"/>
    <n v="0"/>
    <n v="491.8"/>
    <n v="101.2"/>
    <n v="18"/>
    <x v="1"/>
    <s v="PayPal"/>
  </r>
  <r>
    <n v="100659"/>
    <x v="331"/>
    <s v="AD-5243-A"/>
    <s v="Predator Freak"/>
    <x v="1"/>
    <x v="1"/>
    <x v="1"/>
    <n v="3"/>
    <n v="598.29"/>
    <n v="199.43"/>
    <n v="0"/>
    <n v="598.29"/>
    <n v="224.28"/>
    <n v="44"/>
    <x v="1"/>
    <s v="Google Pay"/>
  </r>
  <r>
    <n v="100463"/>
    <x v="479"/>
    <s v="AD-3879-A"/>
    <s v="Z.N.E. Hoodie"/>
    <x v="0"/>
    <x v="1"/>
    <x v="0"/>
    <n v="3"/>
    <n v="353.96999999999997"/>
    <n v="117.99"/>
    <n v="0"/>
    <n v="353.97"/>
    <n v="116.32"/>
    <n v="27"/>
    <x v="1"/>
    <s v="Debit Card"/>
  </r>
  <r>
    <n v="100186"/>
    <x v="236"/>
    <s v="AD-6692-A"/>
    <s v="Superstar"/>
    <x v="1"/>
    <x v="2"/>
    <x v="0"/>
    <n v="4"/>
    <n v="331.84"/>
    <n v="82.96"/>
    <n v="5"/>
    <n v="315.25"/>
    <n v="106.56"/>
    <n v="22"/>
    <x v="1"/>
    <s v="Cash"/>
  </r>
  <r>
    <n v="100608"/>
    <x v="652"/>
    <s v="AD-1917-C"/>
    <s v="Performance Socks (3-pack)"/>
    <x v="2"/>
    <x v="1"/>
    <x v="0"/>
    <n v="2"/>
    <n v="37.799999999999997"/>
    <n v="18.899999999999999"/>
    <n v="0"/>
    <n v="37.799999999999997"/>
    <n v="11.84"/>
    <n v="22"/>
    <x v="0"/>
    <s v="Apple Pay"/>
  </r>
  <r>
    <n v="100143"/>
    <x v="653"/>
    <s v="AD-6928-A"/>
    <s v="Stan Smith"/>
    <x v="1"/>
    <x v="3"/>
    <x v="0"/>
    <n v="4"/>
    <n v="411.6"/>
    <n v="102.9"/>
    <n v="5"/>
    <n v="391.02"/>
    <n v="106.05"/>
    <n v="30"/>
    <x v="0"/>
    <s v="Google Pay"/>
  </r>
  <r>
    <n v="100751"/>
    <x v="654"/>
    <s v="AD-4844-C"/>
    <s v="Originals Backpack"/>
    <x v="2"/>
    <x v="1"/>
    <x v="0"/>
    <n v="1"/>
    <n v="60.95"/>
    <n v="60.95"/>
    <n v="5"/>
    <n v="57.9"/>
    <n v="23.88"/>
    <n v="28"/>
    <x v="0"/>
    <s v="UPI"/>
  </r>
  <r>
    <n v="100981"/>
    <x v="249"/>
    <s v="AD-2902-C"/>
    <s v="Stan Smith"/>
    <x v="1"/>
    <x v="4"/>
    <x v="0"/>
    <n v="4"/>
    <n v="331.56"/>
    <n v="82.89"/>
    <n v="5"/>
    <n v="314.98"/>
    <n v="108.31"/>
    <n v="28"/>
    <x v="0"/>
    <s v="UPI"/>
  </r>
  <r>
    <n v="100197"/>
    <x v="655"/>
    <s v="AD-4960-D"/>
    <s v="Training Shorts"/>
    <x v="0"/>
    <x v="4"/>
    <x v="0"/>
    <n v="4"/>
    <n v="130.04"/>
    <n v="32.51"/>
    <n v="0"/>
    <n v="130.04"/>
    <n v="35.06"/>
    <n v="37"/>
    <x v="0"/>
    <s v="Cash"/>
  </r>
  <r>
    <n v="100883"/>
    <x v="502"/>
    <s v="AD-2065-B"/>
    <s v="Performance Socks (3-pack)"/>
    <x v="2"/>
    <x v="4"/>
    <x v="0"/>
    <n v="3"/>
    <n v="54.480000000000004"/>
    <n v="18.16"/>
    <n v="0"/>
    <n v="54.48"/>
    <n v="10.23"/>
    <n v="46"/>
    <x v="1"/>
    <s v="Cash"/>
  </r>
  <r>
    <n v="100279"/>
    <x v="58"/>
    <s v="AD-6890-A"/>
    <s v="Primegreen Jacket"/>
    <x v="0"/>
    <x v="2"/>
    <x v="2"/>
    <n v="2"/>
    <n v="266.33999999999997"/>
    <n v="133.16999999999999"/>
    <n v="0"/>
    <n v="266.33999999999997"/>
    <n v="62.03"/>
    <n v="35"/>
    <x v="1"/>
    <s v="Credit Card"/>
  </r>
  <r>
    <n v="100293"/>
    <x v="130"/>
    <s v="AD-8939-B"/>
    <s v="Predator Freak"/>
    <x v="1"/>
    <x v="2"/>
    <x v="1"/>
    <n v="4"/>
    <n v="901.24"/>
    <n v="225.31"/>
    <n v="20"/>
    <n v="720.99"/>
    <n v="212.69"/>
    <n v="28"/>
    <x v="0"/>
    <s v="Credit Card"/>
  </r>
  <r>
    <n v="101088"/>
    <x v="617"/>
    <s v="AD-4917-B"/>
    <s v="Tiro 23 Track Pants"/>
    <x v="0"/>
    <x v="2"/>
    <x v="0"/>
    <n v="2"/>
    <n v="112.58"/>
    <n v="56.29"/>
    <n v="5"/>
    <n v="106.95"/>
    <n v="34.26"/>
    <n v="22"/>
    <x v="0"/>
    <s v="Apple Pay"/>
  </r>
  <r>
    <n v="100400"/>
    <x v="656"/>
    <s v="AD-3595-D"/>
    <s v="Copa Sense"/>
    <x v="1"/>
    <x v="4"/>
    <x v="1"/>
    <n v="1"/>
    <n v="165.61"/>
    <n v="165.61"/>
    <n v="5"/>
    <n v="157.33000000000001"/>
    <n v="47.35"/>
    <n v="28"/>
    <x v="1"/>
    <s v="PayPal"/>
  </r>
  <r>
    <n v="100122"/>
    <x v="30"/>
    <s v="AD-9850-C"/>
    <s v="Predator Freak"/>
    <x v="1"/>
    <x v="0"/>
    <x v="0"/>
    <n v="2"/>
    <n v="430.86"/>
    <n v="215.43"/>
    <n v="0"/>
    <n v="430.86"/>
    <n v="96.88"/>
    <n v="16"/>
    <x v="2"/>
    <s v="PayPal"/>
  </r>
  <r>
    <n v="100202"/>
    <x v="657"/>
    <s v="AD-6939-C"/>
    <s v="Essentials Tee"/>
    <x v="0"/>
    <x v="0"/>
    <x v="0"/>
    <n v="3"/>
    <n v="77.25"/>
    <n v="25.75"/>
    <n v="0"/>
    <n v="77.25"/>
    <n v="21.23"/>
    <n v="26"/>
    <x v="1"/>
    <s v="UPI"/>
  </r>
  <r>
    <n v="100835"/>
    <x v="658"/>
    <s v="AD-9919-D"/>
    <s v="Essentials Tee"/>
    <x v="0"/>
    <x v="0"/>
    <x v="0"/>
    <n v="1"/>
    <n v="26.32"/>
    <n v="26.32"/>
    <n v="0"/>
    <n v="26.32"/>
    <n v="8.5500000000000007"/>
    <n v="41"/>
    <x v="1"/>
    <s v="UPI"/>
  </r>
  <r>
    <n v="100246"/>
    <x v="659"/>
    <s v="AD-7179-A"/>
    <s v="Performance Socks (3-pack)"/>
    <x v="2"/>
    <x v="4"/>
    <x v="1"/>
    <n v="2"/>
    <n v="37.64"/>
    <n v="18.82"/>
    <n v="0"/>
    <n v="37.64"/>
    <n v="14"/>
    <n v="20"/>
    <x v="1"/>
    <s v="NetBanking"/>
  </r>
  <r>
    <n v="101139"/>
    <x v="642"/>
    <s v="AD-6196-C"/>
    <s v="Ultraboost 22"/>
    <x v="1"/>
    <x v="4"/>
    <x v="2"/>
    <n v="4"/>
    <n v="692.56"/>
    <n v="173.14"/>
    <n v="10"/>
    <n v="623.29999999999995"/>
    <n v="146.57"/>
    <n v="24"/>
    <x v="0"/>
    <s v="NetBanking"/>
  </r>
  <r>
    <n v="100384"/>
    <x v="169"/>
    <s v="AD-4963-C"/>
    <s v="Training Shorts"/>
    <x v="0"/>
    <x v="1"/>
    <x v="1"/>
    <n v="1"/>
    <n v="28.03"/>
    <n v="28.03"/>
    <n v="0"/>
    <n v="28.03"/>
    <n v="9.73"/>
    <n v="24"/>
    <x v="1"/>
    <s v="Credit Card"/>
  </r>
  <r>
    <n v="100854"/>
    <x v="459"/>
    <s v="AD-9235-A"/>
    <s v="NMD_R1"/>
    <x v="1"/>
    <x v="0"/>
    <x v="3"/>
    <n v="3"/>
    <n v="398.66999999999996"/>
    <n v="132.88999999999999"/>
    <n v="0"/>
    <n v="398.67"/>
    <n v="113.52"/>
    <n v="22"/>
    <x v="1"/>
    <s v="Google Pay"/>
  </r>
  <r>
    <n v="100219"/>
    <x v="660"/>
    <s v="AD-4804-A"/>
    <s v="Adilette Slides"/>
    <x v="1"/>
    <x v="4"/>
    <x v="0"/>
    <n v="3"/>
    <n v="113.49"/>
    <n v="37.83"/>
    <n v="0"/>
    <n v="113.49"/>
    <n v="34.380000000000003"/>
    <n v="39"/>
    <x v="1"/>
    <s v="Debit Card"/>
  </r>
  <r>
    <n v="100641"/>
    <x v="261"/>
    <s v="AD-9834-C"/>
    <s v="NMD_R1"/>
    <x v="1"/>
    <x v="1"/>
    <x v="1"/>
    <n v="5"/>
    <n v="646"/>
    <n v="129.19999999999999"/>
    <n v="10"/>
    <n v="581.4"/>
    <n v="211.31"/>
    <n v="31"/>
    <x v="0"/>
    <s v="Debit Card"/>
  </r>
  <r>
    <n v="100001"/>
    <x v="553"/>
    <s v="AD-4611-D"/>
    <s v="Superstar"/>
    <x v="1"/>
    <x v="1"/>
    <x v="0"/>
    <n v="2"/>
    <n v="205.36"/>
    <n v="102.68"/>
    <n v="20"/>
    <n v="164.29"/>
    <n v="44.52"/>
    <n v="25"/>
    <x v="1"/>
    <s v="Apple Pay"/>
  </r>
  <r>
    <n v="100112"/>
    <x v="182"/>
    <s v="AD-2233-B"/>
    <s v="Training Cap"/>
    <x v="2"/>
    <x v="4"/>
    <x v="2"/>
    <n v="4"/>
    <n v="81.760000000000005"/>
    <n v="20.440000000000001"/>
    <n v="0"/>
    <n v="81.760000000000005"/>
    <n v="28.62"/>
    <n v="34"/>
    <x v="0"/>
    <s v="Google Pay"/>
  </r>
  <r>
    <n v="100698"/>
    <x v="126"/>
    <s v="AD-8966-A"/>
    <s v="Essentials Tee"/>
    <x v="0"/>
    <x v="1"/>
    <x v="0"/>
    <n v="2"/>
    <n v="51.28"/>
    <n v="25.64"/>
    <n v="0"/>
    <n v="51.28"/>
    <n v="14.88"/>
    <n v="16"/>
    <x v="1"/>
    <s v="Google Pay"/>
  </r>
  <r>
    <n v="100951"/>
    <x v="114"/>
    <s v="AD-1324-D"/>
    <s v="Training Cap"/>
    <x v="2"/>
    <x v="1"/>
    <x v="1"/>
    <n v="1"/>
    <n v="22.24"/>
    <n v="22.24"/>
    <n v="5"/>
    <n v="21.13"/>
    <n v="4.41"/>
    <n v="31"/>
    <x v="0"/>
    <s v="Google Pay"/>
  </r>
  <r>
    <n v="101078"/>
    <x v="282"/>
    <s v="AD-7560-A"/>
    <s v="Copa Sense"/>
    <x v="1"/>
    <x v="4"/>
    <x v="0"/>
    <n v="2"/>
    <n v="261.89999999999998"/>
    <n v="130.94999999999999"/>
    <n v="40"/>
    <n v="157.13999999999999"/>
    <n v="45.5"/>
    <n v="16"/>
    <x v="0"/>
    <s v="UPI"/>
  </r>
  <r>
    <n v="100441"/>
    <x v="394"/>
    <s v="AD-7025-B"/>
    <s v="Essentials Tee"/>
    <x v="0"/>
    <x v="2"/>
    <x v="2"/>
    <n v="4"/>
    <n v="91.92"/>
    <n v="22.98"/>
    <n v="20"/>
    <n v="73.540000000000006"/>
    <n v="25.5"/>
    <n v="45"/>
    <x v="1"/>
    <s v="UPI"/>
  </r>
  <r>
    <n v="100663"/>
    <x v="661"/>
    <s v="AD-7563-A"/>
    <s v="Training Cap"/>
    <x v="2"/>
    <x v="1"/>
    <x v="3"/>
    <n v="3"/>
    <n v="57.72"/>
    <n v="19.239999999999998"/>
    <n v="10"/>
    <n v="51.95"/>
    <n v="17.14"/>
    <n v="28"/>
    <x v="1"/>
    <s v="NetBanking"/>
  </r>
  <r>
    <n v="101196"/>
    <x v="506"/>
    <s v="AD-9046-D"/>
    <s v="Performance Socks (3-pack)"/>
    <x v="2"/>
    <x v="3"/>
    <x v="1"/>
    <n v="3"/>
    <n v="58.83"/>
    <n v="19.61"/>
    <n v="5"/>
    <n v="55.89"/>
    <n v="23.43"/>
    <n v="46"/>
    <x v="1"/>
    <s v="NetBanking"/>
  </r>
  <r>
    <n v="100317"/>
    <x v="273"/>
    <s v="AD-6185-B"/>
    <s v="Adicolor Hoodie"/>
    <x v="0"/>
    <x v="0"/>
    <x v="1"/>
    <n v="1"/>
    <n v="73.06"/>
    <n v="73.06"/>
    <n v="5"/>
    <n v="69.41"/>
    <n v="17.079999999999998"/>
    <n v="26"/>
    <x v="0"/>
    <s v="Cash"/>
  </r>
  <r>
    <n v="100648"/>
    <x v="339"/>
    <s v="AD-4454-C"/>
    <s v="Training Cap"/>
    <x v="2"/>
    <x v="1"/>
    <x v="0"/>
    <n v="2"/>
    <n v="44.56"/>
    <n v="22.28"/>
    <n v="0"/>
    <n v="44.56"/>
    <n v="17.899999999999999"/>
    <n v="31"/>
    <x v="0"/>
    <s v="PayPal"/>
  </r>
  <r>
    <n v="100709"/>
    <x v="354"/>
    <s v="AD-3409-D"/>
    <s v="Sports Bottle"/>
    <x v="2"/>
    <x v="1"/>
    <x v="1"/>
    <n v="5"/>
    <n v="75.400000000000006"/>
    <n v="15.08"/>
    <n v="0"/>
    <n v="75.400000000000006"/>
    <n v="19.64"/>
    <n v="21"/>
    <x v="1"/>
    <s v="NetBanking"/>
  </r>
  <r>
    <n v="100972"/>
    <x v="539"/>
    <s v="AD-1272-C"/>
    <s v="Training Cap"/>
    <x v="2"/>
    <x v="0"/>
    <x v="0"/>
    <n v="3"/>
    <n v="67.349999999999994"/>
    <n v="22.45"/>
    <n v="0"/>
    <n v="67.349999999999994"/>
    <n v="19.29"/>
    <n v="34"/>
    <x v="0"/>
    <s v="Cash"/>
  </r>
  <r>
    <n v="100627"/>
    <x v="662"/>
    <s v="AD-3835-A"/>
    <s v="Running Watch Strap"/>
    <x v="2"/>
    <x v="3"/>
    <x v="1"/>
    <n v="2"/>
    <n v="80.5"/>
    <n v="40.25"/>
    <n v="5"/>
    <n v="76.47"/>
    <n v="25.66"/>
    <n v="16"/>
    <x v="1"/>
    <s v="UPI"/>
  </r>
  <r>
    <n v="100632"/>
    <x v="663"/>
    <s v="AD-3089-C"/>
    <s v="Originals Backpack"/>
    <x v="2"/>
    <x v="2"/>
    <x v="3"/>
    <n v="4"/>
    <n v="244.08"/>
    <n v="61.02"/>
    <n v="0"/>
    <n v="244.08"/>
    <n v="98.09"/>
    <n v="36"/>
    <x v="0"/>
    <s v="Apple Pay"/>
  </r>
  <r>
    <n v="101171"/>
    <x v="664"/>
    <s v="AD-5641-B"/>
    <s v="Ultraboost 22"/>
    <x v="1"/>
    <x v="0"/>
    <x v="0"/>
    <n v="3"/>
    <n v="520.71"/>
    <n v="173.57"/>
    <n v="5"/>
    <n v="494.67"/>
    <n v="161.69"/>
    <n v="35"/>
    <x v="1"/>
    <s v="Cash"/>
  </r>
  <r>
    <n v="101106"/>
    <x v="665"/>
    <s v="AD-7066-C"/>
    <s v="Primegreen Jacket"/>
    <x v="0"/>
    <x v="4"/>
    <x v="0"/>
    <n v="2"/>
    <n v="278.42"/>
    <n v="139.21"/>
    <n v="20"/>
    <n v="222.74"/>
    <n v="28.66"/>
    <n v="28"/>
    <x v="0"/>
    <s v="Credit Card"/>
  </r>
  <r>
    <n v="100795"/>
    <x v="412"/>
    <s v="AD-1067-B"/>
    <s v="Tiro 23 Track Pants"/>
    <x v="0"/>
    <x v="4"/>
    <x v="1"/>
    <n v="2"/>
    <n v="96.42"/>
    <n v="48.21"/>
    <n v="20"/>
    <n v="77.14"/>
    <n v="22.36"/>
    <n v="47"/>
    <x v="1"/>
    <s v="UPI"/>
  </r>
  <r>
    <n v="100645"/>
    <x v="666"/>
    <s v="AD-5509-C"/>
    <s v="Predator Freak"/>
    <x v="1"/>
    <x v="2"/>
    <x v="0"/>
    <n v="2"/>
    <n v="432.6"/>
    <n v="216.3"/>
    <n v="0"/>
    <n v="432.6"/>
    <n v="118.14"/>
    <n v="28"/>
    <x v="1"/>
    <s v="NetBanking"/>
  </r>
  <r>
    <n v="101012"/>
    <x v="140"/>
    <s v="AD-8812-B"/>
    <s v="Z.N.E. Hoodie"/>
    <x v="0"/>
    <x v="1"/>
    <x v="0"/>
    <n v="1"/>
    <n v="120.04"/>
    <n v="120.04"/>
    <n v="0"/>
    <n v="120.04"/>
    <n v="37.880000000000003"/>
    <n v="17"/>
    <x v="0"/>
    <s v="Apple Pay"/>
  </r>
  <r>
    <n v="100556"/>
    <x v="667"/>
    <s v="AD-2505-D"/>
    <s v="Predator Freak"/>
    <x v="1"/>
    <x v="1"/>
    <x v="1"/>
    <n v="7"/>
    <n v="1695.68"/>
    <n v="242.24"/>
    <n v="10"/>
    <n v="1526.11"/>
    <n v="393.25"/>
    <n v="33"/>
    <x v="1"/>
    <s v="NetBanking"/>
  </r>
  <r>
    <n v="100681"/>
    <x v="610"/>
    <s v="AD-2160-B"/>
    <s v="Ultraboost Light"/>
    <x v="1"/>
    <x v="4"/>
    <x v="1"/>
    <n v="4"/>
    <n v="560.36"/>
    <n v="140.09"/>
    <n v="0"/>
    <n v="560.36"/>
    <n v="172.6"/>
    <n v="47"/>
    <x v="1"/>
    <s v="Debit Card"/>
  </r>
  <r>
    <n v="100577"/>
    <x v="668"/>
    <s v="AD-4387-B"/>
    <s v="Predator Freak"/>
    <x v="1"/>
    <x v="1"/>
    <x v="1"/>
    <n v="5"/>
    <n v="1039.0999999999999"/>
    <n v="207.82"/>
    <n v="5"/>
    <n v="987.14"/>
    <n v="261.25"/>
    <n v="36"/>
    <x v="1"/>
    <s v="PayPal"/>
  </r>
  <r>
    <n v="100524"/>
    <x v="323"/>
    <s v="AD-6634-C"/>
    <s v="Essentials Tee"/>
    <x v="0"/>
    <x v="4"/>
    <x v="1"/>
    <n v="2"/>
    <n v="51.4"/>
    <n v="25.7"/>
    <n v="20"/>
    <n v="41.12"/>
    <n v="9.0399999999999991"/>
    <n v="29"/>
    <x v="0"/>
    <s v="PayPal"/>
  </r>
  <r>
    <n v="101059"/>
    <x v="362"/>
    <s v="AD-1729-A"/>
    <s v="Predator Freak"/>
    <x v="1"/>
    <x v="1"/>
    <x v="0"/>
    <n v="4"/>
    <n v="815.08"/>
    <n v="203.77"/>
    <n v="20"/>
    <n v="652.05999999999995"/>
    <n v="179.72"/>
    <n v="18"/>
    <x v="1"/>
    <s v="Credit Card"/>
  </r>
  <r>
    <n v="100540"/>
    <x v="481"/>
    <s v="AD-4109-B"/>
    <s v="Predator Freak"/>
    <x v="1"/>
    <x v="4"/>
    <x v="1"/>
    <n v="3"/>
    <n v="700.56000000000006"/>
    <n v="233.52"/>
    <n v="40"/>
    <n v="420.34"/>
    <n v="130.63"/>
    <n v="30"/>
    <x v="0"/>
    <s v="Google Pay"/>
  </r>
  <r>
    <n v="100748"/>
    <x v="619"/>
    <s v="AD-9037-D"/>
    <s v="Copa Sense"/>
    <x v="1"/>
    <x v="4"/>
    <x v="1"/>
    <n v="4"/>
    <n v="595.79999999999995"/>
    <n v="148.94999999999999"/>
    <n v="5"/>
    <n v="566.01"/>
    <n v="168.92"/>
    <n v="16"/>
    <x v="1"/>
    <s v="Debit Card"/>
  </r>
  <r>
    <n v="101109"/>
    <x v="606"/>
    <s v="AD-5640-A"/>
    <s v="Copa Sense"/>
    <x v="1"/>
    <x v="4"/>
    <x v="0"/>
    <n v="3"/>
    <n v="440.07"/>
    <n v="146.69"/>
    <n v="0"/>
    <n v="440.07"/>
    <n v="146.22999999999999"/>
    <n v="21"/>
    <x v="1"/>
    <s v="Apple Pay"/>
  </r>
  <r>
    <n v="100484"/>
    <x v="669"/>
    <s v="AD-7698-C"/>
    <s v="Ultraboost 22"/>
    <x v="1"/>
    <x v="4"/>
    <x v="0"/>
    <n v="3"/>
    <n v="554.43000000000006"/>
    <n v="184.81"/>
    <n v="0"/>
    <n v="554.42999999999995"/>
    <n v="158.08000000000001"/>
    <n v="39"/>
    <x v="0"/>
    <s v="Cash"/>
  </r>
  <r>
    <n v="100095"/>
    <x v="670"/>
    <s v="AD-9022-B"/>
    <s v="Originals Backpack"/>
    <x v="2"/>
    <x v="0"/>
    <x v="0"/>
    <n v="4"/>
    <n v="257.48"/>
    <n v="64.37"/>
    <n v="5"/>
    <n v="244.61"/>
    <n v="121.38"/>
    <n v="38"/>
    <x v="1"/>
    <s v="NetBanking"/>
  </r>
  <r>
    <n v="101020"/>
    <x v="671"/>
    <s v="AD-1834-D"/>
    <s v="Gym Bag"/>
    <x v="2"/>
    <x v="4"/>
    <x v="0"/>
    <n v="1"/>
    <n v="47.45"/>
    <n v="47.45"/>
    <n v="0"/>
    <n v="47.45"/>
    <n v="15.2"/>
    <n v="32"/>
    <x v="1"/>
    <s v="Cash"/>
  </r>
  <r>
    <n v="100563"/>
    <x v="672"/>
    <s v="AD-9589-B"/>
    <s v="Predator Freak"/>
    <x v="1"/>
    <x v="1"/>
    <x v="0"/>
    <n v="3"/>
    <n v="682.89"/>
    <n v="227.63"/>
    <n v="0"/>
    <n v="682.89"/>
    <n v="184.94"/>
    <n v="38"/>
    <x v="1"/>
    <s v="UPI"/>
  </r>
  <r>
    <n v="100742"/>
    <x v="673"/>
    <s v="AD-8795-D"/>
    <s v="Running Watch Strap"/>
    <x v="2"/>
    <x v="0"/>
    <x v="2"/>
    <n v="6"/>
    <n v="268.02"/>
    <n v="44.67"/>
    <n v="0"/>
    <n v="268.02"/>
    <n v="60.38"/>
    <n v="38"/>
    <x v="0"/>
    <s v="Cash"/>
  </r>
  <r>
    <n v="100863"/>
    <x v="674"/>
    <s v="AD-1684-A"/>
    <s v="Copa Sense"/>
    <x v="1"/>
    <x v="1"/>
    <x v="0"/>
    <n v="2"/>
    <n v="353.58"/>
    <n v="176.79"/>
    <n v="0"/>
    <n v="353.58"/>
    <n v="99.97"/>
    <n v="33"/>
    <x v="0"/>
    <s v="Google Pay"/>
  </r>
  <r>
    <n v="100891"/>
    <x v="675"/>
    <s v="AD-2120-C"/>
    <s v="Sports Bottle"/>
    <x v="2"/>
    <x v="1"/>
    <x v="0"/>
    <n v="1"/>
    <n v="16.23"/>
    <n v="16.23"/>
    <n v="0"/>
    <n v="16.23"/>
    <n v="4.01"/>
    <n v="27"/>
    <x v="1"/>
    <s v="UPI"/>
  </r>
  <r>
    <n v="101038"/>
    <x v="676"/>
    <s v="AD-6476-C"/>
    <s v="Essentials Tee"/>
    <x v="0"/>
    <x v="4"/>
    <x v="0"/>
    <n v="3"/>
    <n v="66.989999999999995"/>
    <n v="22.33"/>
    <n v="0"/>
    <n v="66.989999999999995"/>
    <n v="27.34"/>
    <n v="46"/>
    <x v="0"/>
    <s v="Cash"/>
  </r>
  <r>
    <n v="100206"/>
    <x v="677"/>
    <s v="AD-9311-D"/>
    <s v="NMD_R1"/>
    <x v="1"/>
    <x v="1"/>
    <x v="1"/>
    <n v="4"/>
    <n v="570.52"/>
    <n v="142.63"/>
    <n v="5"/>
    <n v="541.99"/>
    <n v="160.16999999999999"/>
    <n v="27"/>
    <x v="0"/>
    <s v="Cash"/>
  </r>
  <r>
    <n v="100392"/>
    <x v="678"/>
    <s v="AD-3292-A"/>
    <s v="Adicolor Hoodie"/>
    <x v="0"/>
    <x v="0"/>
    <x v="2"/>
    <n v="3"/>
    <n v="215.49"/>
    <n v="71.83"/>
    <n v="0"/>
    <n v="215.49"/>
    <n v="64.22"/>
    <n v="27"/>
    <x v="0"/>
    <s v="Cash"/>
  </r>
  <r>
    <n v="100794"/>
    <x v="679"/>
    <s v="AD-6727-A"/>
    <s v="Sports Bottle"/>
    <x v="2"/>
    <x v="1"/>
    <x v="2"/>
    <n v="4"/>
    <n v="66.959999999999994"/>
    <n v="16.739999999999998"/>
    <n v="5"/>
    <n v="63.61"/>
    <n v="20.64"/>
    <n v="30"/>
    <x v="0"/>
    <s v="Debit Card"/>
  </r>
  <r>
    <n v="100870"/>
    <x v="680"/>
    <s v="AD-6783-D"/>
    <s v="Superstar"/>
    <x v="1"/>
    <x v="2"/>
    <x v="2"/>
    <n v="3"/>
    <n v="324.87"/>
    <n v="108.29"/>
    <n v="0"/>
    <n v="324.87"/>
    <n v="91.11"/>
    <n v="17"/>
    <x v="1"/>
    <s v="Debit Card"/>
  </r>
  <r>
    <n v="100397"/>
    <x v="681"/>
    <s v="AD-8736-B"/>
    <s v="Running Watch Strap"/>
    <x v="2"/>
    <x v="2"/>
    <x v="1"/>
    <n v="1"/>
    <n v="36.369999999999997"/>
    <n v="36.369999999999997"/>
    <n v="5"/>
    <n v="34.549999999999997"/>
    <n v="10.85"/>
    <n v="22"/>
    <x v="0"/>
    <s v="Debit Card"/>
  </r>
  <r>
    <n v="100766"/>
    <x v="682"/>
    <s v="AD-9133-A"/>
    <s v="Gym Bag"/>
    <x v="2"/>
    <x v="1"/>
    <x v="2"/>
    <n v="2"/>
    <n v="94.28"/>
    <n v="47.14"/>
    <n v="0"/>
    <n v="94.28"/>
    <n v="27.22"/>
    <n v="17"/>
    <x v="0"/>
    <s v="NetBanking"/>
  </r>
  <r>
    <n v="101099"/>
    <x v="554"/>
    <s v="AD-7929-C"/>
    <s v="Training Shorts"/>
    <x v="0"/>
    <x v="3"/>
    <x v="0"/>
    <n v="2"/>
    <n v="59.14"/>
    <n v="29.57"/>
    <n v="0"/>
    <n v="59.14"/>
    <n v="16"/>
    <n v="31"/>
    <x v="1"/>
    <s v="Credit Card"/>
  </r>
  <r>
    <n v="101028"/>
    <x v="395"/>
    <s v="AD-8852-C"/>
    <s v="Ultraboost Light"/>
    <x v="1"/>
    <x v="1"/>
    <x v="0"/>
    <n v="3"/>
    <n v="435.21"/>
    <n v="145.07"/>
    <n v="10"/>
    <n v="391.69"/>
    <n v="137.51"/>
    <n v="24"/>
    <x v="1"/>
    <s v="UPI"/>
  </r>
  <r>
    <n v="100642"/>
    <x v="683"/>
    <s v="AD-6431-D"/>
    <s v="Ultraboost Light"/>
    <x v="1"/>
    <x v="1"/>
    <x v="0"/>
    <n v="4"/>
    <n v="659.56"/>
    <n v="164.89"/>
    <n v="0"/>
    <n v="659.56"/>
    <n v="216.79"/>
    <n v="19"/>
    <x v="1"/>
    <s v="Google Pay"/>
  </r>
  <r>
    <n v="100612"/>
    <x v="637"/>
    <s v="AD-2517-D"/>
    <s v="Tiro 23 Track Pants"/>
    <x v="0"/>
    <x v="1"/>
    <x v="0"/>
    <n v="2"/>
    <n v="123.5"/>
    <n v="61.75"/>
    <n v="20"/>
    <n v="98.8"/>
    <n v="23.77"/>
    <n v="19"/>
    <x v="0"/>
    <s v="UPI"/>
  </r>
  <r>
    <n v="100960"/>
    <x v="165"/>
    <s v="AD-7993-C"/>
    <s v="Running Watch Strap"/>
    <x v="2"/>
    <x v="4"/>
    <x v="2"/>
    <n v="2"/>
    <n v="84.42"/>
    <n v="42.21"/>
    <n v="0"/>
    <n v="84.42"/>
    <n v="23.82"/>
    <n v="27"/>
    <x v="0"/>
    <s v="PayPal"/>
  </r>
  <r>
    <n v="100725"/>
    <x v="684"/>
    <s v="AD-7111-D"/>
    <s v="Training Shorts"/>
    <x v="0"/>
    <x v="0"/>
    <x v="2"/>
    <n v="5"/>
    <n v="132.30000000000001"/>
    <n v="26.46"/>
    <n v="10"/>
    <n v="119.07"/>
    <n v="31.62"/>
    <n v="16"/>
    <x v="1"/>
    <s v="NetBanking"/>
  </r>
  <r>
    <n v="100683"/>
    <x v="685"/>
    <s v="AD-2204-D"/>
    <s v="Adicolor Hoodie"/>
    <x v="0"/>
    <x v="0"/>
    <x v="2"/>
    <n v="5"/>
    <n v="359.54999999999995"/>
    <n v="71.91"/>
    <n v="10"/>
    <n v="323.58999999999997"/>
    <n v="110.59"/>
    <n v="36"/>
    <x v="1"/>
    <s v="UPI"/>
  </r>
  <r>
    <n v="100098"/>
    <x v="686"/>
    <s v="AD-2633-D"/>
    <s v="Ultraboost Light"/>
    <x v="1"/>
    <x v="3"/>
    <x v="0"/>
    <n v="2"/>
    <n v="291.32"/>
    <n v="145.66"/>
    <n v="10"/>
    <n v="262.19"/>
    <n v="75.53"/>
    <n v="26"/>
    <x v="1"/>
    <s v="Google Pay"/>
  </r>
  <r>
    <n v="100804"/>
    <x v="12"/>
    <s v="AD-9115-A"/>
    <s v="Ultraboost Light"/>
    <x v="1"/>
    <x v="3"/>
    <x v="1"/>
    <n v="2"/>
    <n v="289.38"/>
    <n v="144.69"/>
    <n v="0"/>
    <n v="289.38"/>
    <n v="81.88"/>
    <n v="25"/>
    <x v="0"/>
    <s v="PayPal"/>
  </r>
  <r>
    <n v="100406"/>
    <x v="687"/>
    <s v="AD-7147-C"/>
    <s v="Predator Freak"/>
    <x v="1"/>
    <x v="4"/>
    <x v="1"/>
    <n v="2"/>
    <n v="432.76"/>
    <n v="216.38"/>
    <n v="20"/>
    <n v="346.21"/>
    <n v="92.61"/>
    <n v="32"/>
    <x v="1"/>
    <s v="Credit Card"/>
  </r>
  <r>
    <n v="100502"/>
    <x v="688"/>
    <s v="AD-9871-A"/>
    <s v="Stan Smith"/>
    <x v="1"/>
    <x v="4"/>
    <x v="3"/>
    <n v="5"/>
    <n v="447.8"/>
    <n v="89.56"/>
    <n v="10"/>
    <n v="403.02"/>
    <n v="115.02"/>
    <n v="36"/>
    <x v="1"/>
    <s v="Credit Card"/>
  </r>
  <r>
    <n v="101071"/>
    <x v="689"/>
    <s v="AD-3361-D"/>
    <s v="Training Shorts"/>
    <x v="0"/>
    <x v="2"/>
    <x v="1"/>
    <n v="1"/>
    <n v="30.18"/>
    <n v="30.18"/>
    <n v="5"/>
    <n v="28.67"/>
    <n v="7.28"/>
    <n v="43"/>
    <x v="1"/>
    <s v="Google Pay"/>
  </r>
  <r>
    <n v="101056"/>
    <x v="690"/>
    <s v="AD-3165-B"/>
    <s v="Ultraboost 22"/>
    <x v="1"/>
    <x v="1"/>
    <x v="0"/>
    <n v="3"/>
    <n v="417.59999999999997"/>
    <n v="139.19999999999999"/>
    <n v="0"/>
    <n v="417.6"/>
    <n v="153.66"/>
    <n v="44"/>
    <x v="0"/>
    <s v="Credit Card"/>
  </r>
  <r>
    <n v="100929"/>
    <x v="351"/>
    <s v="AD-6359-D"/>
    <s v="Primegreen Jacket"/>
    <x v="0"/>
    <x v="1"/>
    <x v="0"/>
    <n v="4"/>
    <n v="568.88"/>
    <n v="142.22"/>
    <n v="0"/>
    <n v="568.88"/>
    <n v="177.14"/>
    <n v="28"/>
    <x v="1"/>
    <s v="PayPal"/>
  </r>
  <r>
    <n v="100779"/>
    <x v="134"/>
    <s v="AD-1339-A"/>
    <s v="Originals Backpack"/>
    <x v="2"/>
    <x v="1"/>
    <x v="0"/>
    <n v="3"/>
    <n v="169.62"/>
    <n v="56.54"/>
    <n v="5"/>
    <n v="161.13999999999999"/>
    <n v="47.71"/>
    <n v="22"/>
    <x v="0"/>
    <s v="UPI"/>
  </r>
  <r>
    <n v="100200"/>
    <x v="218"/>
    <s v="AD-1797-A"/>
    <s v="Ultraboost 22"/>
    <x v="1"/>
    <x v="1"/>
    <x v="1"/>
    <n v="4"/>
    <n v="688.32"/>
    <n v="172.08"/>
    <n v="10"/>
    <n v="619.49"/>
    <n v="165.04"/>
    <n v="34"/>
    <x v="1"/>
    <s v="Cash"/>
  </r>
  <r>
    <n v="100134"/>
    <x v="151"/>
    <s v="AD-5381-A"/>
    <s v="Sports Bottle"/>
    <x v="2"/>
    <x v="0"/>
    <x v="1"/>
    <n v="3"/>
    <n v="47.730000000000004"/>
    <n v="15.91"/>
    <n v="0"/>
    <n v="47.73"/>
    <n v="11.03"/>
    <n v="31"/>
    <x v="0"/>
    <s v="Credit Card"/>
  </r>
  <r>
    <n v="101051"/>
    <x v="175"/>
    <s v="AD-7258-C"/>
    <s v="Essentials Tee"/>
    <x v="0"/>
    <x v="3"/>
    <x v="1"/>
    <n v="3"/>
    <n v="75.570000000000007"/>
    <n v="25.19"/>
    <n v="20"/>
    <n v="60.46"/>
    <n v="13.53"/>
    <n v="20"/>
    <x v="0"/>
    <s v="Debit Card"/>
  </r>
  <r>
    <n v="100040"/>
    <x v="488"/>
    <s v="AD-6378-C"/>
    <s v="Tiro 23 Track Pants"/>
    <x v="0"/>
    <x v="2"/>
    <x v="0"/>
    <n v="3"/>
    <n v="164.49"/>
    <n v="54.83"/>
    <n v="0"/>
    <n v="164.49"/>
    <n v="40.78"/>
    <n v="26"/>
    <x v="0"/>
    <s v="Apple Pay"/>
  </r>
  <r>
    <n v="101017"/>
    <x v="134"/>
    <s v="AD-9334-B"/>
    <s v="Tiro 23 Track Pants"/>
    <x v="0"/>
    <x v="1"/>
    <x v="2"/>
    <n v="2"/>
    <n v="106.28"/>
    <n v="53.14"/>
    <n v="0"/>
    <n v="106.28"/>
    <n v="21.38"/>
    <n v="36"/>
    <x v="0"/>
    <s v="Apple Pay"/>
  </r>
  <r>
    <n v="100230"/>
    <x v="155"/>
    <s v="AD-9792-B"/>
    <s v="Training Shorts"/>
    <x v="0"/>
    <x v="0"/>
    <x v="0"/>
    <n v="2"/>
    <n v="58.58"/>
    <n v="29.29"/>
    <n v="10"/>
    <n v="52.72"/>
    <n v="18.71"/>
    <n v="23"/>
    <x v="1"/>
    <s v="UPI"/>
  </r>
  <r>
    <n v="100378"/>
    <x v="281"/>
    <s v="AD-4892-A"/>
    <s v="Primegreen Jacket"/>
    <x v="0"/>
    <x v="0"/>
    <x v="1"/>
    <n v="4"/>
    <n v="515.28"/>
    <n v="128.82"/>
    <n v="10"/>
    <n v="463.75"/>
    <n v="108.61"/>
    <n v="27"/>
    <x v="1"/>
    <s v="Cash"/>
  </r>
  <r>
    <n v="100288"/>
    <x v="45"/>
    <s v="AD-8496-A"/>
    <s v="Superstar"/>
    <x v="1"/>
    <x v="0"/>
    <x v="1"/>
    <n v="4"/>
    <n v="385.76"/>
    <n v="96.44"/>
    <n v="0"/>
    <n v="385.76"/>
    <n v="126.85"/>
    <n v="39"/>
    <x v="1"/>
    <s v="UPI"/>
  </r>
  <r>
    <n v="100418"/>
    <x v="689"/>
    <s v="AD-1472-B"/>
    <s v="Running Watch Strap"/>
    <x v="2"/>
    <x v="0"/>
    <x v="0"/>
    <n v="2"/>
    <n v="85.64"/>
    <n v="42.82"/>
    <n v="5"/>
    <n v="81.36"/>
    <n v="24.27"/>
    <n v="26"/>
    <x v="0"/>
    <s v="Cash"/>
  </r>
  <r>
    <n v="100391"/>
    <x v="478"/>
    <s v="AD-4086-B"/>
    <s v="Z.N.E. Hoodie"/>
    <x v="0"/>
    <x v="4"/>
    <x v="1"/>
    <n v="3"/>
    <n v="353.96999999999997"/>
    <n v="117.99"/>
    <n v="0"/>
    <n v="353.97"/>
    <n v="89.49"/>
    <n v="41"/>
    <x v="0"/>
    <s v="NetBanking"/>
  </r>
  <r>
    <n v="100592"/>
    <x v="380"/>
    <s v="AD-3930-A"/>
    <s v="Copa Sense"/>
    <x v="1"/>
    <x v="0"/>
    <x v="1"/>
    <n v="2"/>
    <n v="290.44"/>
    <n v="145.22"/>
    <n v="0"/>
    <n v="290.44"/>
    <n v="61.69"/>
    <n v="29"/>
    <x v="1"/>
    <s v="PayPal"/>
  </r>
  <r>
    <n v="101086"/>
    <x v="660"/>
    <s v="AD-2528-B"/>
    <s v="Running Watch Strap"/>
    <x v="2"/>
    <x v="4"/>
    <x v="0"/>
    <n v="5"/>
    <n v="208.15"/>
    <n v="41.63"/>
    <n v="0"/>
    <n v="208.15"/>
    <n v="59.23"/>
    <n v="45"/>
    <x v="0"/>
    <s v="Debit Card"/>
  </r>
  <r>
    <n v="100647"/>
    <x v="647"/>
    <s v="AD-3376-B"/>
    <s v="Adicolor Hoodie"/>
    <x v="0"/>
    <x v="0"/>
    <x v="2"/>
    <n v="1"/>
    <n v="70.05"/>
    <n v="70.05"/>
    <n v="5"/>
    <n v="66.55"/>
    <n v="25.41"/>
    <n v="45"/>
    <x v="1"/>
    <s v="Debit Card"/>
  </r>
  <r>
    <n v="100520"/>
    <x v="2"/>
    <s v="AD-8260-B"/>
    <s v="Predator Freak"/>
    <x v="1"/>
    <x v="3"/>
    <x v="0"/>
    <n v="2"/>
    <n v="418.44"/>
    <n v="209.22"/>
    <n v="10"/>
    <n v="376.6"/>
    <n v="132.79"/>
    <n v="26"/>
    <x v="1"/>
    <s v="NetBanking"/>
  </r>
  <r>
    <n v="100064"/>
    <x v="691"/>
    <s v="AD-4249-A"/>
    <s v="Running Watch Strap"/>
    <x v="2"/>
    <x v="1"/>
    <x v="1"/>
    <n v="1"/>
    <n v="38.49"/>
    <n v="38.49"/>
    <n v="10"/>
    <n v="34.64"/>
    <n v="11.99"/>
    <n v="39"/>
    <x v="0"/>
    <s v="Apple Pay"/>
  </r>
  <r>
    <n v="100014"/>
    <x v="692"/>
    <s v="AD-6038-B"/>
    <s v="Gym Bag"/>
    <x v="2"/>
    <x v="0"/>
    <x v="1"/>
    <n v="3"/>
    <n v="151.14000000000001"/>
    <n v="50.38"/>
    <n v="0"/>
    <n v="151.13999999999999"/>
    <n v="53.45"/>
    <n v="30"/>
    <x v="1"/>
    <s v="Cash"/>
  </r>
  <r>
    <n v="101064"/>
    <x v="693"/>
    <s v="AD-7047-C"/>
    <s v="Tiro 23 Track Pants"/>
    <x v="0"/>
    <x v="4"/>
    <x v="2"/>
    <n v="2"/>
    <n v="108.14"/>
    <n v="54.07"/>
    <n v="0"/>
    <n v="108.14"/>
    <n v="39.520000000000003"/>
    <n v="20"/>
    <x v="1"/>
    <s v="Google Pay"/>
  </r>
  <r>
    <n v="100492"/>
    <x v="694"/>
    <s v="AD-4919-A"/>
    <s v="NMD_R1"/>
    <x v="1"/>
    <x v="0"/>
    <x v="1"/>
    <n v="3"/>
    <n v="367.53000000000003"/>
    <n v="122.51"/>
    <n v="0"/>
    <n v="367.53"/>
    <n v="119.98"/>
    <n v="31"/>
    <x v="0"/>
    <s v="Cash"/>
  </r>
  <r>
    <n v="100379"/>
    <x v="351"/>
    <s v="AD-6094-C"/>
    <s v="Training Cap"/>
    <x v="2"/>
    <x v="2"/>
    <x v="0"/>
    <n v="2"/>
    <n v="46.22"/>
    <n v="23.11"/>
    <n v="0"/>
    <n v="46.22"/>
    <n v="15.51"/>
    <n v="30"/>
    <x v="0"/>
    <s v="NetBanking"/>
  </r>
  <r>
    <n v="100187"/>
    <x v="19"/>
    <s v="AD-6922-B"/>
    <s v="Sports Bottle"/>
    <x v="2"/>
    <x v="4"/>
    <x v="0"/>
    <n v="3"/>
    <n v="44.82"/>
    <n v="14.94"/>
    <n v="5"/>
    <n v="42.58"/>
    <n v="21.21"/>
    <n v="29"/>
    <x v="0"/>
    <s v="PayPal"/>
  </r>
  <r>
    <n v="100763"/>
    <x v="398"/>
    <s v="AD-3883-A"/>
    <s v="Ultraboost Light"/>
    <x v="1"/>
    <x v="4"/>
    <x v="0"/>
    <n v="1"/>
    <n v="150.6"/>
    <n v="150.6"/>
    <n v="20"/>
    <n v="120.48"/>
    <n v="44.04"/>
    <n v="28"/>
    <x v="0"/>
    <s v="NetBanking"/>
  </r>
  <r>
    <n v="100216"/>
    <x v="162"/>
    <s v="AD-5450-B"/>
    <s v="Performance Socks (3-pack)"/>
    <x v="2"/>
    <x v="0"/>
    <x v="0"/>
    <n v="4"/>
    <n v="75.44"/>
    <n v="18.86"/>
    <n v="0"/>
    <n v="75.44"/>
    <n v="28.6"/>
    <n v="28"/>
    <x v="0"/>
    <s v="NetBanking"/>
  </r>
  <r>
    <n v="100791"/>
    <x v="695"/>
    <s v="AD-6169-D"/>
    <s v="Essentials Tee"/>
    <x v="0"/>
    <x v="0"/>
    <x v="0"/>
    <n v="4"/>
    <n v="106.76"/>
    <n v="26.69"/>
    <n v="0"/>
    <n v="106.76"/>
    <n v="21.1"/>
    <n v="34"/>
    <x v="1"/>
    <s v="PayPal"/>
  </r>
  <r>
    <n v="101076"/>
    <x v="696"/>
    <s v="AD-1178-D"/>
    <s v="Stan Smith"/>
    <x v="1"/>
    <x v="2"/>
    <x v="0"/>
    <n v="4"/>
    <n v="340.56"/>
    <n v="85.14"/>
    <n v="20"/>
    <n v="272.45"/>
    <n v="61.77"/>
    <n v="26"/>
    <x v="0"/>
    <s v="PayPal"/>
  </r>
  <r>
    <n v="100878"/>
    <x v="98"/>
    <s v="AD-4678-A"/>
    <s v="Originals Backpack"/>
    <x v="2"/>
    <x v="0"/>
    <x v="1"/>
    <n v="2"/>
    <n v="117.18"/>
    <n v="58.59"/>
    <n v="40"/>
    <n v="70.31"/>
    <n v="24.54"/>
    <n v="26"/>
    <x v="1"/>
    <s v="Credit Card"/>
  </r>
  <r>
    <n v="100337"/>
    <x v="214"/>
    <s v="AD-2731-B"/>
    <s v="Adicolor Hoodie"/>
    <x v="0"/>
    <x v="4"/>
    <x v="1"/>
    <n v="4"/>
    <n v="264.48"/>
    <n v="66.12"/>
    <n v="10"/>
    <n v="238.03"/>
    <n v="45.16"/>
    <n v="36"/>
    <x v="0"/>
    <s v="PayPal"/>
  </r>
  <r>
    <n v="100719"/>
    <x v="687"/>
    <s v="AD-3034-C"/>
    <s v="Ultraboost 22"/>
    <x v="1"/>
    <x v="4"/>
    <x v="0"/>
    <n v="3"/>
    <n v="478.08000000000004"/>
    <n v="159.36000000000001"/>
    <n v="0"/>
    <n v="478.08"/>
    <n v="135.58000000000001"/>
    <n v="36"/>
    <x v="0"/>
    <s v="Google Pay"/>
  </r>
  <r>
    <n v="100295"/>
    <x v="114"/>
    <s v="AD-9808-C"/>
    <s v="Superstar"/>
    <x v="1"/>
    <x v="0"/>
    <x v="0"/>
    <n v="2"/>
    <n v="213.84"/>
    <n v="106.92"/>
    <n v="0"/>
    <n v="213.84"/>
    <n v="58.53"/>
    <n v="29"/>
    <x v="1"/>
    <s v="UPI"/>
  </r>
  <r>
    <n v="101016"/>
    <x v="576"/>
    <s v="AD-3705-A"/>
    <s v="Z.N.E. Hoodie"/>
    <x v="0"/>
    <x v="0"/>
    <x v="0"/>
    <n v="5"/>
    <n v="644.44999999999993"/>
    <n v="128.88999999999999"/>
    <n v="0"/>
    <n v="644.45000000000005"/>
    <n v="176.92"/>
    <n v="18"/>
    <x v="1"/>
    <s v="Debit Card"/>
  </r>
  <r>
    <n v="100455"/>
    <x v="393"/>
    <s v="AD-3360-C"/>
    <s v="Ultraboost 22"/>
    <x v="1"/>
    <x v="1"/>
    <x v="0"/>
    <n v="2"/>
    <n v="393.68"/>
    <n v="196.84"/>
    <n v="5"/>
    <n v="374"/>
    <n v="83.57"/>
    <n v="34"/>
    <x v="1"/>
    <s v="NetBanking"/>
  </r>
  <r>
    <n v="100815"/>
    <x v="697"/>
    <s v="AD-6469-A"/>
    <s v="Performance Socks (3-pack)"/>
    <x v="2"/>
    <x v="4"/>
    <x v="1"/>
    <n v="4"/>
    <n v="71.36"/>
    <n v="17.84"/>
    <n v="0"/>
    <n v="71.36"/>
    <n v="26.79"/>
    <n v="34"/>
    <x v="0"/>
    <s v="Credit Card"/>
  </r>
  <r>
    <n v="100269"/>
    <x v="269"/>
    <s v="AD-1202-C"/>
    <s v="Ultraboost 22"/>
    <x v="1"/>
    <x v="0"/>
    <x v="1"/>
    <n v="4"/>
    <n v="823.64"/>
    <n v="205.91"/>
    <n v="10"/>
    <n v="741.28"/>
    <n v="243.02"/>
    <n v="28"/>
    <x v="0"/>
    <s v="Apple Pay"/>
  </r>
  <r>
    <n v="100995"/>
    <x v="627"/>
    <s v="AD-8596-D"/>
    <s v="NMD_R1"/>
    <x v="1"/>
    <x v="0"/>
    <x v="0"/>
    <n v="3"/>
    <n v="383.13"/>
    <n v="127.71"/>
    <n v="0"/>
    <n v="383.13"/>
    <n v="127.48"/>
    <n v="30"/>
    <x v="0"/>
    <s v="Debit Card"/>
  </r>
  <r>
    <n v="100201"/>
    <x v="698"/>
    <s v="AD-2761-D"/>
    <s v="Training Cap"/>
    <x v="2"/>
    <x v="2"/>
    <x v="1"/>
    <n v="3"/>
    <n v="64.050000000000011"/>
    <n v="21.35"/>
    <n v="0"/>
    <n v="64.05"/>
    <n v="15.96"/>
    <n v="32"/>
    <x v="1"/>
    <s v="Credit Card"/>
  </r>
  <r>
    <n v="100161"/>
    <x v="338"/>
    <s v="AD-8564-C"/>
    <s v="Training Cap"/>
    <x v="2"/>
    <x v="4"/>
    <x v="1"/>
    <n v="3"/>
    <n v="59.79"/>
    <n v="19.93"/>
    <n v="0"/>
    <n v="59.79"/>
    <n v="17.420000000000002"/>
    <n v="35"/>
    <x v="0"/>
    <s v="Google Pay"/>
  </r>
  <r>
    <n v="100729"/>
    <x v="65"/>
    <s v="AD-2287-D"/>
    <s v="Predator Freak"/>
    <x v="1"/>
    <x v="4"/>
    <x v="0"/>
    <n v="2"/>
    <n v="453.36"/>
    <n v="226.68"/>
    <n v="0"/>
    <n v="453.36"/>
    <n v="173.84"/>
    <n v="22"/>
    <x v="1"/>
    <s v="PayPal"/>
  </r>
  <r>
    <n v="100401"/>
    <x v="91"/>
    <s v="AD-7280-A"/>
    <s v="Superstar"/>
    <x v="1"/>
    <x v="1"/>
    <x v="0"/>
    <n v="2"/>
    <n v="192.92"/>
    <n v="96.46"/>
    <n v="10"/>
    <n v="173.63"/>
    <n v="60.6"/>
    <n v="24"/>
    <x v="1"/>
    <s v="Google Pay"/>
  </r>
  <r>
    <n v="100702"/>
    <x v="699"/>
    <s v="AD-4806-C"/>
    <s v="Training Shorts"/>
    <x v="0"/>
    <x v="0"/>
    <x v="0"/>
    <n v="1"/>
    <n v="27.66"/>
    <n v="27.66"/>
    <n v="5"/>
    <n v="26.28"/>
    <n v="9.41"/>
    <n v="18"/>
    <x v="1"/>
    <s v="Credit Card"/>
  </r>
  <r>
    <n v="101129"/>
    <x v="659"/>
    <s v="AD-2685-C"/>
    <s v="Adilette Slides"/>
    <x v="1"/>
    <x v="4"/>
    <x v="2"/>
    <n v="3"/>
    <n v="101.52000000000001"/>
    <n v="33.840000000000003"/>
    <n v="40"/>
    <n v="60.91"/>
    <n v="19.8"/>
    <n v="22"/>
    <x v="0"/>
    <s v="Apple Pay"/>
  </r>
  <r>
    <n v="100565"/>
    <x v="277"/>
    <s v="AD-6729-D"/>
    <s v="Training Shorts"/>
    <x v="0"/>
    <x v="1"/>
    <x v="1"/>
    <n v="3"/>
    <n v="93.33"/>
    <n v="31.11"/>
    <n v="20"/>
    <n v="74.66"/>
    <n v="21.76"/>
    <n v="33"/>
    <x v="0"/>
    <s v="PayPal"/>
  </r>
  <r>
    <n v="101021"/>
    <x v="686"/>
    <s v="AD-5752-C"/>
    <s v="Primegreen Jacket"/>
    <x v="0"/>
    <x v="3"/>
    <x v="0"/>
    <n v="2"/>
    <n v="248.48"/>
    <n v="124.24"/>
    <n v="20"/>
    <n v="198.78"/>
    <n v="75.989999999999995"/>
    <n v="21"/>
    <x v="0"/>
    <s v="Debit Card"/>
  </r>
  <r>
    <n v="101025"/>
    <x v="700"/>
    <s v="AD-3549-C"/>
    <s v="Superstar"/>
    <x v="1"/>
    <x v="2"/>
    <x v="0"/>
    <n v="2"/>
    <n v="195.8"/>
    <n v="97.9"/>
    <n v="0"/>
    <n v="195.8"/>
    <n v="57.08"/>
    <n v="43"/>
    <x v="0"/>
    <s v="Credit Card"/>
  </r>
  <r>
    <n v="101104"/>
    <x v="159"/>
    <s v="AD-5305-A"/>
    <s v="Predator Freak"/>
    <x v="1"/>
    <x v="3"/>
    <x v="1"/>
    <n v="3"/>
    <n v="652.47"/>
    <n v="217.49"/>
    <n v="0"/>
    <n v="652.47"/>
    <n v="140.63999999999999"/>
    <n v="18"/>
    <x v="1"/>
    <s v="Apple Pay"/>
  </r>
  <r>
    <n v="100205"/>
    <x v="303"/>
    <s v="AD-3440-B"/>
    <s v="Ultraboost Light"/>
    <x v="1"/>
    <x v="4"/>
    <x v="0"/>
    <n v="1"/>
    <n v="145.81"/>
    <n v="145.81"/>
    <n v="10"/>
    <n v="131.22999999999999"/>
    <n v="44.93"/>
    <n v="39"/>
    <x v="1"/>
    <s v="Google Pay"/>
  </r>
  <r>
    <n v="100034"/>
    <x v="412"/>
    <s v="AD-5533-A"/>
    <s v="Essentials Tee"/>
    <x v="0"/>
    <x v="4"/>
    <x v="2"/>
    <n v="1"/>
    <n v="24.55"/>
    <n v="24.55"/>
    <n v="0"/>
    <n v="24.55"/>
    <n v="7.93"/>
    <n v="29"/>
    <x v="1"/>
    <s v="Apple Pay"/>
  </r>
  <r>
    <n v="100775"/>
    <x v="321"/>
    <s v="AD-8426-A"/>
    <s v="Copa Sense"/>
    <x v="1"/>
    <x v="1"/>
    <x v="0"/>
    <n v="3"/>
    <n v="460.23"/>
    <n v="153.41"/>
    <n v="0"/>
    <n v="460.23"/>
    <n v="136.68"/>
    <n v="39"/>
    <x v="0"/>
    <s v="Cash"/>
  </r>
  <r>
    <n v="100508"/>
    <x v="482"/>
    <s v="AD-2636-C"/>
    <s v="Primegreen Jacket"/>
    <x v="0"/>
    <x v="4"/>
    <x v="0"/>
    <n v="7"/>
    <n v="864.71"/>
    <n v="123.53"/>
    <n v="40"/>
    <n v="518.83000000000004"/>
    <n v="149.66999999999999"/>
    <n v="45"/>
    <x v="0"/>
    <s v="UPI"/>
  </r>
  <r>
    <n v="101183"/>
    <x v="340"/>
    <s v="AD-8761-A"/>
    <s v="Ultraboost 22"/>
    <x v="1"/>
    <x v="2"/>
    <x v="1"/>
    <n v="1"/>
    <n v="196.24"/>
    <n v="196.24"/>
    <n v="20"/>
    <n v="156.99"/>
    <n v="48.09"/>
    <n v="36"/>
    <x v="1"/>
    <s v="Debit Card"/>
  </r>
  <r>
    <n v="100091"/>
    <x v="176"/>
    <s v="AD-8178-D"/>
    <s v="Training Cap"/>
    <x v="2"/>
    <x v="0"/>
    <x v="0"/>
    <n v="3"/>
    <n v="53.849999999999994"/>
    <n v="17.95"/>
    <n v="0"/>
    <n v="53.85"/>
    <n v="20.98"/>
    <n v="22"/>
    <x v="1"/>
    <s v="NetBanking"/>
  </r>
  <r>
    <n v="100897"/>
    <x v="701"/>
    <s v="AD-3884-C"/>
    <s v="Essentials Tee"/>
    <x v="0"/>
    <x v="1"/>
    <x v="1"/>
    <n v="3"/>
    <n v="63.300000000000004"/>
    <n v="21.1"/>
    <n v="0"/>
    <n v="63.3"/>
    <n v="17.350000000000001"/>
    <n v="33"/>
    <x v="1"/>
    <s v="Credit Card"/>
  </r>
  <r>
    <n v="100564"/>
    <x v="81"/>
    <s v="AD-7776-D"/>
    <s v="Superstar"/>
    <x v="1"/>
    <x v="1"/>
    <x v="1"/>
    <n v="3"/>
    <n v="250.35000000000002"/>
    <n v="83.45"/>
    <n v="40"/>
    <n v="150.21"/>
    <n v="23.79"/>
    <n v="33"/>
    <x v="0"/>
    <s v="Debit Card"/>
  </r>
  <r>
    <n v="100776"/>
    <x v="702"/>
    <s v="AD-7564-B"/>
    <s v="Ultraboost Light"/>
    <x v="1"/>
    <x v="4"/>
    <x v="0"/>
    <n v="3"/>
    <n v="453.09000000000003"/>
    <n v="151.03"/>
    <n v="0"/>
    <n v="453.09"/>
    <n v="119.01"/>
    <n v="31"/>
    <x v="0"/>
    <s v="Credit Card"/>
  </r>
  <r>
    <n v="100241"/>
    <x v="541"/>
    <s v="AD-7775-C"/>
    <s v="NMD_R1"/>
    <x v="1"/>
    <x v="0"/>
    <x v="0"/>
    <n v="5"/>
    <n v="634.04999999999995"/>
    <n v="126.81"/>
    <n v="0"/>
    <n v="634.04999999999995"/>
    <n v="155.59"/>
    <n v="27"/>
    <x v="0"/>
    <s v="UPI"/>
  </r>
  <r>
    <n v="100013"/>
    <x v="675"/>
    <s v="AD-7126-B"/>
    <s v="Stan Smith"/>
    <x v="1"/>
    <x v="4"/>
    <x v="1"/>
    <n v="5"/>
    <n v="384.35"/>
    <n v="76.87"/>
    <n v="0"/>
    <n v="384.35"/>
    <n v="134"/>
    <n v="36"/>
    <x v="0"/>
    <s v="PayPal"/>
  </r>
  <r>
    <n v="100315"/>
    <x v="703"/>
    <s v="AD-1439-C"/>
    <s v="Predator Freak"/>
    <x v="1"/>
    <x v="0"/>
    <x v="0"/>
    <n v="5"/>
    <n v="1152.5"/>
    <n v="230.5"/>
    <n v="20"/>
    <n v="922"/>
    <n v="337.32"/>
    <n v="29"/>
    <x v="0"/>
    <s v="NetBanking"/>
  </r>
  <r>
    <n v="100600"/>
    <x v="704"/>
    <s v="AD-4425-A"/>
    <s v="Training Cap"/>
    <x v="2"/>
    <x v="0"/>
    <x v="0"/>
    <n v="2"/>
    <n v="41.28"/>
    <n v="20.64"/>
    <n v="10"/>
    <n v="37.15"/>
    <n v="14.42"/>
    <n v="37"/>
    <x v="1"/>
    <s v="UPI"/>
  </r>
  <r>
    <n v="100387"/>
    <x v="496"/>
    <s v="AD-8767-B"/>
    <s v="Adilette Slides"/>
    <x v="1"/>
    <x v="1"/>
    <x v="0"/>
    <n v="5"/>
    <n v="187.25"/>
    <n v="37.450000000000003"/>
    <n v="40"/>
    <n v="112.35"/>
    <n v="33.340000000000003"/>
    <n v="45"/>
    <x v="0"/>
    <s v="Credit Card"/>
  </r>
  <r>
    <n v="100166"/>
    <x v="705"/>
    <s v="AD-1627-C"/>
    <s v="Z.N.E. Hoodie"/>
    <x v="0"/>
    <x v="2"/>
    <x v="1"/>
    <n v="4"/>
    <n v="479.36"/>
    <n v="119.84"/>
    <n v="0"/>
    <n v="479.36"/>
    <n v="168.4"/>
    <n v="35"/>
    <x v="0"/>
    <s v="PayPal"/>
  </r>
  <r>
    <n v="100840"/>
    <x v="706"/>
    <s v="AD-9737-B"/>
    <s v="Stan Smith"/>
    <x v="1"/>
    <x v="0"/>
    <x v="0"/>
    <n v="2"/>
    <n v="158.5"/>
    <n v="79.25"/>
    <n v="5"/>
    <n v="150.57"/>
    <n v="49.34"/>
    <n v="33"/>
    <x v="1"/>
    <s v="UPI"/>
  </r>
  <r>
    <n v="100020"/>
    <x v="117"/>
    <s v="AD-2588-D"/>
    <s v="Running Watch Strap"/>
    <x v="2"/>
    <x v="4"/>
    <x v="1"/>
    <n v="5"/>
    <n v="203.45"/>
    <n v="40.69"/>
    <n v="0"/>
    <n v="203.45"/>
    <n v="38.340000000000003"/>
    <n v="16"/>
    <x v="1"/>
    <s v="Debit Card"/>
  </r>
  <r>
    <n v="100646"/>
    <x v="159"/>
    <s v="AD-3873-C"/>
    <s v="Stan Smith"/>
    <x v="1"/>
    <x v="2"/>
    <x v="1"/>
    <n v="4"/>
    <n v="347.8"/>
    <n v="86.95"/>
    <n v="0"/>
    <n v="347.8"/>
    <n v="60.89"/>
    <n v="24"/>
    <x v="0"/>
    <s v="Cash"/>
  </r>
  <r>
    <n v="101154"/>
    <x v="579"/>
    <s v="AD-1817-B"/>
    <s v="Primegreen Jacket"/>
    <x v="0"/>
    <x v="4"/>
    <x v="1"/>
    <n v="3"/>
    <n v="430.62"/>
    <n v="143.54"/>
    <n v="20"/>
    <n v="344.5"/>
    <n v="84.76"/>
    <n v="28"/>
    <x v="1"/>
    <s v="Debit Card"/>
  </r>
  <r>
    <n v="100831"/>
    <x v="680"/>
    <s v="AD-1487-D"/>
    <s v="Adicolor Hoodie"/>
    <x v="0"/>
    <x v="1"/>
    <x v="2"/>
    <n v="2"/>
    <n v="145.91999999999999"/>
    <n v="72.959999999999994"/>
    <n v="10"/>
    <n v="131.33000000000001"/>
    <n v="39.22"/>
    <n v="17"/>
    <x v="0"/>
    <s v="Cash"/>
  </r>
  <r>
    <n v="100562"/>
    <x v="707"/>
    <s v="AD-9221-D"/>
    <s v="Superstar"/>
    <x v="1"/>
    <x v="0"/>
    <x v="1"/>
    <n v="3"/>
    <n v="297.69"/>
    <n v="99.23"/>
    <n v="5"/>
    <n v="282.81"/>
    <n v="65.959999999999994"/>
    <n v="33"/>
    <x v="1"/>
    <s v="Apple Pay"/>
  </r>
  <r>
    <n v="101170"/>
    <x v="416"/>
    <s v="AD-1871-D"/>
    <s v="Tiro 23 Track Pants"/>
    <x v="0"/>
    <x v="4"/>
    <x v="1"/>
    <n v="2"/>
    <n v="125.54"/>
    <n v="62.77"/>
    <n v="10"/>
    <n v="112.99"/>
    <n v="24.42"/>
    <n v="35"/>
    <x v="1"/>
    <s v="Debit Card"/>
  </r>
  <r>
    <n v="100686"/>
    <x v="640"/>
    <s v="AD-5835-B"/>
    <s v="Predator Freak"/>
    <x v="1"/>
    <x v="1"/>
    <x v="0"/>
    <n v="4"/>
    <n v="922.44"/>
    <n v="230.61"/>
    <n v="10"/>
    <n v="830.2"/>
    <n v="213.75"/>
    <n v="34"/>
    <x v="0"/>
    <s v="UPI"/>
  </r>
  <r>
    <n v="100957"/>
    <x v="289"/>
    <s v="AD-8827-A"/>
    <s v="Training Shorts"/>
    <x v="0"/>
    <x v="0"/>
    <x v="3"/>
    <n v="4"/>
    <n v="120.76"/>
    <n v="30.19"/>
    <n v="0"/>
    <n v="120.76"/>
    <n v="33.520000000000003"/>
    <n v="18"/>
    <x v="0"/>
    <s v="UPI"/>
  </r>
  <r>
    <n v="100189"/>
    <x v="708"/>
    <s v="AD-7708-A"/>
    <s v="Superstar"/>
    <x v="1"/>
    <x v="1"/>
    <x v="1"/>
    <n v="1"/>
    <n v="79.48"/>
    <n v="79.48"/>
    <n v="10"/>
    <n v="71.53"/>
    <n v="20.5"/>
    <n v="29"/>
    <x v="1"/>
    <s v="Apple Pay"/>
  </r>
  <r>
    <n v="100975"/>
    <x v="24"/>
    <s v="AD-3094-D"/>
    <s v="Adilette Slides"/>
    <x v="1"/>
    <x v="2"/>
    <x v="2"/>
    <n v="4"/>
    <n v="149.28"/>
    <n v="37.32"/>
    <n v="0"/>
    <n v="149.28"/>
    <n v="45.58"/>
    <n v="21"/>
    <x v="0"/>
    <s v="Credit Card"/>
  </r>
  <r>
    <n v="100699"/>
    <x v="163"/>
    <s v="AD-4085-D"/>
    <s v="Sports Bottle"/>
    <x v="2"/>
    <x v="1"/>
    <x v="0"/>
    <n v="4"/>
    <n v="60.84"/>
    <n v="15.21"/>
    <n v="0"/>
    <n v="60.84"/>
    <n v="25.41"/>
    <n v="26"/>
    <x v="0"/>
    <s v="Debit Card"/>
  </r>
  <r>
    <n v="100510"/>
    <x v="498"/>
    <s v="AD-8972-C"/>
    <s v="Originals Backpack"/>
    <x v="2"/>
    <x v="3"/>
    <x v="2"/>
    <n v="2"/>
    <n v="129.72"/>
    <n v="64.86"/>
    <n v="5"/>
    <n v="123.23"/>
    <n v="52.24"/>
    <n v="39"/>
    <x v="1"/>
    <s v="Cash"/>
  </r>
  <r>
    <n v="101082"/>
    <x v="709"/>
    <s v="AD-4937-C"/>
    <s v="Adilette Slides"/>
    <x v="1"/>
    <x v="0"/>
    <x v="0"/>
    <n v="2"/>
    <n v="73.900000000000006"/>
    <n v="36.950000000000003"/>
    <n v="0"/>
    <n v="73.900000000000006"/>
    <n v="19.079999999999998"/>
    <n v="33"/>
    <x v="0"/>
    <s v="Credit Card"/>
  </r>
  <r>
    <n v="100474"/>
    <x v="39"/>
    <s v="AD-7732-A"/>
    <s v="Z.N.E. Hoodie"/>
    <x v="0"/>
    <x v="1"/>
    <x v="1"/>
    <n v="1"/>
    <n v="110.04"/>
    <n v="110.04"/>
    <n v="0"/>
    <n v="110.04"/>
    <n v="35.72"/>
    <n v="37"/>
    <x v="1"/>
    <s v="PayPal"/>
  </r>
  <r>
    <n v="100856"/>
    <x v="128"/>
    <s v="AD-1394-C"/>
    <s v="Running Watch Strap"/>
    <x v="2"/>
    <x v="2"/>
    <x v="0"/>
    <n v="6"/>
    <n v="226.79999999999998"/>
    <n v="37.799999999999997"/>
    <n v="10"/>
    <n v="204.12"/>
    <n v="55.31"/>
    <n v="25"/>
    <x v="1"/>
    <s v="Apple Pay"/>
  </r>
  <r>
    <n v="100747"/>
    <x v="710"/>
    <s v="AD-3897-C"/>
    <s v="Stan Smith"/>
    <x v="1"/>
    <x v="1"/>
    <x v="0"/>
    <n v="2"/>
    <n v="165.64"/>
    <n v="82.82"/>
    <n v="5"/>
    <n v="157.36000000000001"/>
    <n v="60.14"/>
    <n v="32"/>
    <x v="1"/>
    <s v="Credit Card"/>
  </r>
  <r>
    <n v="100252"/>
    <x v="711"/>
    <s v="AD-5216-D"/>
    <s v="Z.N.E. Hoodie"/>
    <x v="0"/>
    <x v="0"/>
    <x v="0"/>
    <n v="2"/>
    <n v="226.78"/>
    <n v="113.39"/>
    <n v="20"/>
    <n v="181.42"/>
    <n v="50.12"/>
    <n v="25"/>
    <x v="0"/>
    <s v="Cash"/>
  </r>
  <r>
    <n v="100021"/>
    <x v="149"/>
    <s v="AD-1993-D"/>
    <s v="Originals Backpack"/>
    <x v="2"/>
    <x v="2"/>
    <x v="0"/>
    <n v="2"/>
    <n v="119.74"/>
    <n v="59.87"/>
    <n v="5"/>
    <n v="113.75"/>
    <n v="38.020000000000003"/>
    <n v="49"/>
    <x v="0"/>
    <s v="Debit Card"/>
  </r>
  <r>
    <n v="100459"/>
    <x v="28"/>
    <s v="AD-4234-D"/>
    <s v="Sports Bottle"/>
    <x v="2"/>
    <x v="1"/>
    <x v="0"/>
    <n v="3"/>
    <n v="45.96"/>
    <n v="15.32"/>
    <n v="5"/>
    <n v="43.66"/>
    <n v="12.27"/>
    <n v="23"/>
    <x v="1"/>
    <s v="Debit Card"/>
  </r>
  <r>
    <n v="100276"/>
    <x v="640"/>
    <s v="AD-1440-D"/>
    <s v="Primegreen Jacket"/>
    <x v="0"/>
    <x v="3"/>
    <x v="0"/>
    <n v="2"/>
    <n v="287.36"/>
    <n v="143.68"/>
    <n v="5"/>
    <n v="272.99"/>
    <n v="91.18"/>
    <n v="27"/>
    <x v="2"/>
    <s v="PayPal"/>
  </r>
  <r>
    <n v="100955"/>
    <x v="624"/>
    <s v="AD-3039-D"/>
    <s v="Training Shorts"/>
    <x v="0"/>
    <x v="1"/>
    <x v="3"/>
    <n v="3"/>
    <n v="90.929999999999993"/>
    <n v="30.31"/>
    <n v="5"/>
    <n v="86.38"/>
    <n v="20.21"/>
    <n v="30"/>
    <x v="1"/>
    <s v="Credit Card"/>
  </r>
  <r>
    <n v="100385"/>
    <x v="453"/>
    <s v="AD-3679-C"/>
    <s v="NMD_R1"/>
    <x v="1"/>
    <x v="3"/>
    <x v="1"/>
    <n v="3"/>
    <n v="390.48"/>
    <n v="130.16"/>
    <n v="5"/>
    <n v="370.96"/>
    <n v="126.59"/>
    <n v="23"/>
    <x v="0"/>
    <s v="Cash"/>
  </r>
  <r>
    <n v="100805"/>
    <x v="712"/>
    <s v="AD-5921-B"/>
    <s v="Performance Socks (3-pack)"/>
    <x v="2"/>
    <x v="2"/>
    <x v="1"/>
    <n v="3"/>
    <n v="49.17"/>
    <n v="16.39"/>
    <n v="5"/>
    <n v="46.71"/>
    <n v="12.19"/>
    <n v="23"/>
    <x v="1"/>
    <s v="PayPal"/>
  </r>
  <r>
    <n v="100343"/>
    <x v="510"/>
    <s v="AD-2506-C"/>
    <s v="Superstar"/>
    <x v="1"/>
    <x v="4"/>
    <x v="2"/>
    <n v="2"/>
    <n v="192.24"/>
    <n v="96.12"/>
    <n v="10"/>
    <n v="173.02"/>
    <n v="65.849999999999994"/>
    <n v="37"/>
    <x v="1"/>
    <s v="PayPal"/>
  </r>
  <r>
    <n v="100769"/>
    <x v="713"/>
    <s v="AD-6947-D"/>
    <s v="Stan Smith"/>
    <x v="1"/>
    <x v="1"/>
    <x v="1"/>
    <n v="3"/>
    <n v="239.13"/>
    <n v="79.709999999999994"/>
    <n v="5"/>
    <n v="227.17"/>
    <n v="58.6"/>
    <n v="35"/>
    <x v="0"/>
    <s v="PayPal"/>
  </r>
  <r>
    <n v="100130"/>
    <x v="714"/>
    <s v="AD-2527-D"/>
    <s v="Essentials Tee"/>
    <x v="0"/>
    <x v="4"/>
    <x v="3"/>
    <n v="2"/>
    <n v="50.4"/>
    <n v="25.2"/>
    <n v="5"/>
    <n v="47.88"/>
    <n v="13.03"/>
    <n v="27"/>
    <x v="1"/>
    <s v="Debit Card"/>
  </r>
  <r>
    <n v="100871"/>
    <x v="574"/>
    <s v="AD-3044-D"/>
    <s v="NMD_R1"/>
    <x v="1"/>
    <x v="4"/>
    <x v="1"/>
    <n v="5"/>
    <n v="638.04999999999995"/>
    <n v="127.61"/>
    <n v="5"/>
    <n v="606.15"/>
    <n v="149.27000000000001"/>
    <n v="30"/>
    <x v="0"/>
    <s v="Credit Card"/>
  </r>
  <r>
    <n v="101123"/>
    <x v="715"/>
    <s v="AD-4445-D"/>
    <s v="Adilette Slides"/>
    <x v="1"/>
    <x v="1"/>
    <x v="0"/>
    <n v="3"/>
    <n v="101.69999999999999"/>
    <n v="33.9"/>
    <n v="5"/>
    <n v="96.61"/>
    <n v="33.520000000000003"/>
    <n v="20"/>
    <x v="1"/>
    <s v="Debit Card"/>
  </r>
  <r>
    <n v="100087"/>
    <x v="461"/>
    <s v="AD-9056-A"/>
    <s v="Copa Sense"/>
    <x v="1"/>
    <x v="0"/>
    <x v="2"/>
    <n v="2"/>
    <n v="299.7"/>
    <n v="149.85"/>
    <n v="5"/>
    <n v="284.70999999999998"/>
    <n v="83.89"/>
    <n v="21"/>
    <x v="1"/>
    <s v="Apple Pay"/>
  </r>
  <r>
    <n v="100330"/>
    <x v="677"/>
    <s v="AD-4974-D"/>
    <s v="Superstar"/>
    <x v="1"/>
    <x v="4"/>
    <x v="0"/>
    <n v="4"/>
    <n v="382.52"/>
    <n v="95.63"/>
    <n v="0"/>
    <n v="382.52"/>
    <n v="105.82"/>
    <n v="32"/>
    <x v="0"/>
    <s v="NetBanking"/>
  </r>
  <r>
    <n v="100466"/>
    <x v="355"/>
    <s v="AD-3193-D"/>
    <s v="Sports Bottle"/>
    <x v="2"/>
    <x v="0"/>
    <x v="0"/>
    <n v="3"/>
    <n v="43.62"/>
    <n v="14.54"/>
    <n v="5"/>
    <n v="41.44"/>
    <n v="13.54"/>
    <n v="36"/>
    <x v="1"/>
    <s v="NetBanking"/>
  </r>
  <r>
    <n v="100121"/>
    <x v="716"/>
    <s v="AD-4538-B"/>
    <s v="Z.N.E. Hoodie"/>
    <x v="0"/>
    <x v="4"/>
    <x v="1"/>
    <n v="4"/>
    <n v="416.44"/>
    <n v="104.11"/>
    <n v="20"/>
    <n v="333.15"/>
    <n v="86.57"/>
    <n v="43"/>
    <x v="1"/>
    <s v="UPI"/>
  </r>
  <r>
    <n v="101044"/>
    <x v="467"/>
    <s v="AD-7512-D"/>
    <s v="Predator Freak"/>
    <x v="1"/>
    <x v="3"/>
    <x v="0"/>
    <n v="2"/>
    <n v="440.24"/>
    <n v="220.12"/>
    <n v="5"/>
    <n v="418.23"/>
    <n v="108.68"/>
    <n v="36"/>
    <x v="0"/>
    <s v="UPI"/>
  </r>
  <r>
    <n v="101095"/>
    <x v="717"/>
    <s v="AD-6716-D"/>
    <s v="Running Watch Strap"/>
    <x v="2"/>
    <x v="4"/>
    <x v="0"/>
    <n v="2"/>
    <n v="91.94"/>
    <n v="45.97"/>
    <n v="5"/>
    <n v="87.34"/>
    <n v="28.46"/>
    <n v="40"/>
    <x v="1"/>
    <s v="Debit Card"/>
  </r>
  <r>
    <n v="101130"/>
    <x v="718"/>
    <s v="AD-6222-A"/>
    <s v="Adilette Slides"/>
    <x v="1"/>
    <x v="1"/>
    <x v="2"/>
    <n v="3"/>
    <n v="93"/>
    <n v="31"/>
    <n v="0"/>
    <n v="93"/>
    <n v="28.22"/>
    <n v="34"/>
    <x v="1"/>
    <s v="NetBanking"/>
  </r>
  <r>
    <n v="100860"/>
    <x v="719"/>
    <s v="AD-5412-A"/>
    <s v="NMD_R1"/>
    <x v="1"/>
    <x v="1"/>
    <x v="1"/>
    <n v="4"/>
    <n v="571.08000000000004"/>
    <n v="142.77000000000001"/>
    <n v="0"/>
    <n v="571.08000000000004"/>
    <n v="170.99"/>
    <n v="40"/>
    <x v="1"/>
    <s v="Debit Card"/>
  </r>
  <r>
    <n v="101126"/>
    <x v="720"/>
    <s v="AD-4543-C"/>
    <s v="Stan Smith"/>
    <x v="1"/>
    <x v="4"/>
    <x v="0"/>
    <n v="6"/>
    <n v="432.18"/>
    <n v="72.03"/>
    <n v="20"/>
    <n v="345.74"/>
    <n v="94.24"/>
    <n v="31"/>
    <x v="1"/>
    <s v="PayP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A9FCC8-2ED1-4491-AA0E-1E81145646D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5:W10" firstHeaderRow="1" firstDataRow="1" firstDataCol="1"/>
  <pivotFields count="19">
    <pivotField showAll="0"/>
    <pivotField axis="axisRow"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pivotField showAll="0"/>
    <pivotField dataField="1"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7"/>
    <field x="1"/>
  </rowFields>
  <rowItems count="5">
    <i>
      <x v="1"/>
    </i>
    <i>
      <x v="2"/>
    </i>
    <i>
      <x v="3"/>
    </i>
    <i>
      <x v="4"/>
    </i>
    <i t="grand">
      <x/>
    </i>
  </rowItems>
  <colItems count="1">
    <i/>
  </colItems>
  <dataFields count="1">
    <dataField name="Sum of Total Sales" fld="8" baseField="0" baseItem="0"/>
  </dataFields>
  <chartFormats count="3">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C2B66E-0EA6-4C67-B321-22BD6F8F2E0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_Sold" fld="7"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35CF37-6ED3-4932-AE48-0B65B8B8042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5:T11" firstHeaderRow="1" firstDataRow="1" firstDataCol="1"/>
  <pivotFields count="19">
    <pivotField showAll="0"/>
    <pivotField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axis="axisRow" showAll="0">
      <items count="6">
        <item x="0"/>
        <item x="4"/>
        <item x="2"/>
        <item x="3"/>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18D105-0E40-4A55-A841-4BDDA633E09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5:N10" firstHeaderRow="1" firstDataRow="1" firstDataCol="1"/>
  <pivotFields count="19">
    <pivotField showAll="0"/>
    <pivotField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axis="axisRow" showAll="0">
      <items count="5">
        <item x="0"/>
        <item x="2"/>
        <item x="1"/>
        <item x="3"/>
        <item t="default"/>
      </items>
    </pivotField>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5">
    <i>
      <x/>
    </i>
    <i>
      <x v="1"/>
    </i>
    <i>
      <x v="2"/>
    </i>
    <i>
      <x v="3"/>
    </i>
    <i t="grand">
      <x/>
    </i>
  </rowItems>
  <colItems count="1">
    <i/>
  </colItems>
  <dataFields count="1">
    <dataField name="Sum of Total Sales" fld="8" baseField="0" baseItem="0"/>
  </dataField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6" count="1" selected="0">
            <x v="0"/>
          </reference>
        </references>
      </pivotArea>
    </chartFormat>
    <chartFormat chart="5" format="2">
      <pivotArea type="data" outline="0" fieldPosition="0">
        <references count="2">
          <reference field="4294967294" count="1" selected="0">
            <x v="0"/>
          </reference>
          <reference field="6" count="1" selected="0">
            <x v="2"/>
          </reference>
        </references>
      </pivotArea>
    </chartFormat>
    <chartFormat chart="5" format="3">
      <pivotArea type="data" outline="0" fieldPosition="0">
        <references count="2">
          <reference field="4294967294" count="1" selected="0">
            <x v="0"/>
          </reference>
          <reference field="6" count="1" selected="0">
            <x v="1"/>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6" count="1" selected="0">
            <x v="0"/>
          </reference>
        </references>
      </pivotArea>
    </chartFormat>
    <chartFormat chart="8" format="11">
      <pivotArea type="data" outline="0" fieldPosition="0">
        <references count="2">
          <reference field="4294967294" count="1" selected="0">
            <x v="0"/>
          </reference>
          <reference field="6" count="1" selected="0">
            <x v="1"/>
          </reference>
        </references>
      </pivotArea>
    </chartFormat>
    <chartFormat chart="8" format="12">
      <pivotArea type="data" outline="0" fieldPosition="0">
        <references count="2">
          <reference field="4294967294" count="1" selected="0">
            <x v="0"/>
          </reference>
          <reference field="6" count="1" selected="0">
            <x v="2"/>
          </reference>
        </references>
      </pivotArea>
    </chartFormat>
    <chartFormat chart="8" format="13">
      <pivotArea type="data" outline="0" fieldPosition="0">
        <references count="2">
          <reference field="4294967294" count="1" selected="0">
            <x v="0"/>
          </reference>
          <reference field="6" count="1" selected="0">
            <x v="3"/>
          </reference>
        </references>
      </pivotArea>
    </chartFormat>
    <chartFormat chart="5"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A40E03-46E4-4D29-8AAE-F74A728F580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5:G12"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axis="axisRow" showAll="0">
      <items count="4">
        <item sd="0" x="2"/>
        <item sd="0" x="0"/>
        <item x="1"/>
        <item t="default"/>
      </items>
    </pivotField>
    <pivotField showAll="0">
      <items count="6">
        <item x="0"/>
        <item x="4"/>
        <item x="2"/>
        <item x="3"/>
        <item x="1"/>
        <item t="default"/>
      </items>
    </pivotField>
    <pivotField showAll="0"/>
    <pivotField showAll="0"/>
    <pivotField showAll="0"/>
    <pivotField showAll="0"/>
    <pivotField showAll="0"/>
    <pivotField showAll="0"/>
    <pivotField dataField="1" showAll="0"/>
    <pivotField showAll="0"/>
    <pivotField axis="axisRow"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4"/>
    <field x="14"/>
  </rowFields>
  <rowItems count="7">
    <i>
      <x/>
    </i>
    <i>
      <x v="1"/>
    </i>
    <i>
      <x v="2"/>
    </i>
    <i r="1">
      <x/>
    </i>
    <i r="1">
      <x v="1"/>
    </i>
    <i r="1">
      <x v="2"/>
    </i>
    <i t="grand">
      <x/>
    </i>
  </rowItems>
  <colItems count="1">
    <i/>
  </colItems>
  <dataFields count="1">
    <dataField name="Sum of Profit" fld="12" baseField="0" baseItem="0" numFmtId="164"/>
  </dataFields>
  <formats count="3">
    <format dxfId="3">
      <pivotArea type="all" dataOnly="0" outline="0" fieldPosition="0"/>
    </format>
    <format dxfId="2">
      <pivotArea outline="0" collapsedLevelsAreSubtotals="1" fieldPosition="0"/>
    </format>
    <format dxfId="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3">
          <reference field="4294967294" count="1" selected="0">
            <x v="0"/>
          </reference>
          <reference field="4" count="1" selected="0">
            <x v="2"/>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221267-6ED1-4F8F-B27F-C0B3EC7D1F1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12" baseField="0" baseItem="0" numFmtId="164"/>
  </dataFields>
  <formats count="3">
    <format dxfId="6">
      <pivotArea type="all" dataOnly="0" outline="0" fieldPosition="0"/>
    </format>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5C4D66-4219-421C-A814-C80F48C9F9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J30"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axis="axisRow" showAll="0">
      <items count="6">
        <item x="0"/>
        <item x="4"/>
        <item x="2"/>
        <item x="3"/>
        <item x="1"/>
        <item t="default"/>
      </items>
    </pivotField>
    <pivotField axis="axisRow" showAll="0">
      <items count="5">
        <item x="0"/>
        <item x="2"/>
        <item x="1"/>
        <item x="3"/>
        <item t="default"/>
      </items>
    </pivotField>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6"/>
    <field x="5"/>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Count of Units_Sol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472EF9-B171-4A0B-914D-394DC2BC44C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5:Q30" firstHeaderRow="1" firstDataRow="1" firstDataCol="1"/>
  <pivotFields count="19">
    <pivotField showAll="0"/>
    <pivotField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axis="axisRow" showAll="0">
      <items count="5">
        <item x="0"/>
        <item x="2"/>
        <item x="1"/>
        <item x="3"/>
        <item t="default"/>
      </items>
    </pivotField>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6"/>
    <field x="5"/>
  </rowFields>
  <rowItems count="25">
    <i>
      <x/>
    </i>
    <i r="1">
      <x v="1"/>
    </i>
    <i r="1">
      <x/>
    </i>
    <i r="1">
      <x v="4"/>
    </i>
    <i r="1">
      <x v="2"/>
    </i>
    <i r="1">
      <x v="3"/>
    </i>
    <i>
      <x v="1"/>
    </i>
    <i r="1">
      <x/>
    </i>
    <i r="1">
      <x v="1"/>
    </i>
    <i r="1">
      <x v="4"/>
    </i>
    <i r="1">
      <x v="2"/>
    </i>
    <i r="1">
      <x v="3"/>
    </i>
    <i>
      <x v="2"/>
    </i>
    <i r="1">
      <x/>
    </i>
    <i r="1">
      <x v="4"/>
    </i>
    <i r="1">
      <x v="1"/>
    </i>
    <i r="1">
      <x v="2"/>
    </i>
    <i r="1">
      <x v="3"/>
    </i>
    <i>
      <x v="3"/>
    </i>
    <i r="1">
      <x v="1"/>
    </i>
    <i r="1">
      <x v="4"/>
    </i>
    <i r="1">
      <x/>
    </i>
    <i r="1">
      <x v="2"/>
    </i>
    <i r="1">
      <x v="3"/>
    </i>
    <i t="grand">
      <x/>
    </i>
  </rowItems>
  <colItems count="1">
    <i/>
  </colItems>
  <dataFields count="1">
    <dataField name="Sum of Total Sales" fld="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5"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D12921-EB31-4F8F-9F4D-0D035638FC67}" sourceName="Region">
  <pivotTables>
    <pivotTable tabId="2" name="PivotTable9"/>
    <pivotTable tabId="2" name="PivotTable10"/>
    <pivotTable tabId="2" name="PivotTable2"/>
    <pivotTable tabId="2" name="PivotTable3"/>
    <pivotTable tabId="2" name="PivotTable4"/>
    <pivotTable tabId="2" name="PivotTable6"/>
    <pivotTable tabId="2" name="PivotTable7"/>
    <pivotTable tabId="2" name="PivotTable8"/>
  </pivotTables>
  <data>
    <tabular pivotCacheId="170932192">
      <items count="5">
        <i x="0" s="1"/>
        <i x="4"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8EFE9D-A038-4247-87BA-A27A9EB32989}" cache="Slicer_Region" caption="Region" rowHeight="8229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1DF9530-E30F-4FDE-9ABF-747A422A12E7}" cache="Slicer_Region" caption="Region" rowHeight="10058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DDCCBD-C447-41E3-A980-A0C9524458F2}" name="Table1" displayName="Table1" ref="A1:P1201" totalsRowShown="0" headerRowDxfId="24" dataDxfId="23">
  <autoFilter ref="A1:P1201" xr:uid="{9FDDCCBD-C447-41E3-A980-A0C9524458F2}"/>
  <tableColumns count="16">
    <tableColumn id="1" xr3:uid="{36FE572B-356E-4741-9E41-4027CE9491BC}" name="Order_ID" dataDxfId="22"/>
    <tableColumn id="2" xr3:uid="{A6A86BF4-B10A-4BB6-8696-0112C9D6C380}" name="Order_Date" dataDxfId="21"/>
    <tableColumn id="3" xr3:uid="{7D064F2B-74CC-43E1-8B2C-34CC28ED615D}" name="SKU" dataDxfId="20"/>
    <tableColumn id="4" xr3:uid="{C28047E0-24BF-40D4-B0E9-2487557BE83E}" name="Product_Name" dataDxfId="19"/>
    <tableColumn id="5" xr3:uid="{2C22F7E3-A991-42C6-AB1B-BE6E1A3C1B20}" name="Category" dataDxfId="18"/>
    <tableColumn id="6" xr3:uid="{055832D6-2C5F-4A1F-B76C-8728343E639D}" name="Region" dataDxfId="17"/>
    <tableColumn id="7" xr3:uid="{84E15CF8-97D9-48EB-AC74-B4C77F0EE24F}" name="Store_Type" dataDxfId="16"/>
    <tableColumn id="8" xr3:uid="{092121FA-7C29-4A5B-AA12-66D772472624}" name="Units_Sold" dataDxfId="15"/>
    <tableColumn id="16" xr3:uid="{9A695B4C-D42C-43B5-BD49-22EA06CE1CEF}" name="Total Sales" dataDxfId="14">
      <calculatedColumnFormula>Table1[[#This Row],[Units_Sold]]*Table1[[#This Row],[Unit_Price]]</calculatedColumnFormula>
    </tableColumn>
    <tableColumn id="9" xr3:uid="{2962FF9A-8D7B-4A00-BD2F-B42F9BC993AF}" name="Unit_Price" dataDxfId="13"/>
    <tableColumn id="10" xr3:uid="{6D874FB4-2F69-4528-97CB-D8D40B7C6E4E}" name="Discount" dataDxfId="12"/>
    <tableColumn id="11" xr3:uid="{3D607C2D-6070-449D-8C0F-0AE45EDBAEA4}" name="Revenue" dataDxfId="11"/>
    <tableColumn id="12" xr3:uid="{BD026570-9078-4A68-82BC-341345259BB5}" name="Profit" dataDxfId="10"/>
    <tableColumn id="13" xr3:uid="{FDCE0F4E-2389-4924-B5E5-6FEAE87563E1}" name="Customer_Age" dataDxfId="9"/>
    <tableColumn id="14" xr3:uid="{555DA167-B738-45CE-85AA-FC1F3F861F92}" name="Gender" dataDxfId="8"/>
    <tableColumn id="15" xr3:uid="{E2D5745B-0BAA-47EF-81C8-736A3DB920BE}" name="Payment_Method"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P1201"/>
  <sheetViews>
    <sheetView topLeftCell="B1" zoomScale="138" workbookViewId="0">
      <selection activeCell="G1" sqref="G1"/>
    </sheetView>
  </sheetViews>
  <sheetFormatPr defaultRowHeight="14.4" x14ac:dyDescent="0.3"/>
  <cols>
    <col min="1" max="1" width="12.77734375" bestFit="1" customWidth="1"/>
    <col min="2" max="2" width="14.88671875" bestFit="1" customWidth="1"/>
    <col min="3" max="3" width="9.88671875" bestFit="1" customWidth="1"/>
    <col min="4" max="4" width="24" bestFit="1" customWidth="1"/>
    <col min="5" max="5" width="12.77734375" bestFit="1" customWidth="1"/>
    <col min="6" max="6" width="11" bestFit="1" customWidth="1"/>
    <col min="7" max="7" width="14.5546875" bestFit="1" customWidth="1"/>
    <col min="8" max="8" width="14.33203125" bestFit="1" customWidth="1"/>
    <col min="9" max="9" width="14.33203125" customWidth="1"/>
    <col min="10" max="10" width="24.77734375" customWidth="1"/>
    <col min="11" max="11" width="12.77734375" bestFit="1" customWidth="1"/>
    <col min="12" max="12" width="12.44140625" bestFit="1" customWidth="1"/>
    <col min="13" max="13" width="10" bestFit="1" customWidth="1"/>
    <col min="14" max="14" width="17.33203125" bestFit="1" customWidth="1"/>
    <col min="15" max="15" width="11.5546875" bestFit="1" customWidth="1"/>
    <col min="16" max="16" width="19.88671875" bestFit="1" customWidth="1"/>
  </cols>
  <sheetData>
    <row r="1" spans="1:16" x14ac:dyDescent="0.3">
      <c r="A1" s="3" t="s">
        <v>0</v>
      </c>
      <c r="B1" s="3" t="s">
        <v>1</v>
      </c>
      <c r="C1" s="3" t="s">
        <v>2</v>
      </c>
      <c r="D1" s="3" t="s">
        <v>3</v>
      </c>
      <c r="E1" s="3" t="s">
        <v>4</v>
      </c>
      <c r="F1" s="3" t="s">
        <v>5</v>
      </c>
      <c r="G1" s="3" t="s">
        <v>6</v>
      </c>
      <c r="H1" s="3" t="s">
        <v>7</v>
      </c>
      <c r="I1" s="3" t="s">
        <v>1247</v>
      </c>
      <c r="J1" s="3" t="s">
        <v>8</v>
      </c>
      <c r="K1" s="3" t="s">
        <v>9</v>
      </c>
      <c r="L1" s="3" t="s">
        <v>10</v>
      </c>
      <c r="M1" s="3" t="s">
        <v>11</v>
      </c>
      <c r="N1" s="3" t="s">
        <v>12</v>
      </c>
      <c r="O1" s="3" t="s">
        <v>13</v>
      </c>
      <c r="P1" s="3" t="s">
        <v>14</v>
      </c>
    </row>
    <row r="2" spans="1:16" x14ac:dyDescent="0.3">
      <c r="A2" s="1">
        <v>101178</v>
      </c>
      <c r="B2" s="2">
        <v>45556</v>
      </c>
      <c r="C2" s="1" t="s">
        <v>15</v>
      </c>
      <c r="D2" s="1" t="s">
        <v>16</v>
      </c>
      <c r="E2" s="1" t="s">
        <v>17</v>
      </c>
      <c r="F2" s="1" t="s">
        <v>1237</v>
      </c>
      <c r="G2" s="1" t="s">
        <v>18</v>
      </c>
      <c r="H2" s="1">
        <v>5</v>
      </c>
      <c r="I2" s="1">
        <f>Table1[[#This Row],[Units_Sold]]*Table1[[#This Row],[Unit_Price]]</f>
        <v>248.4</v>
      </c>
      <c r="J2" s="1">
        <v>49.68</v>
      </c>
      <c r="K2" s="1">
        <v>0</v>
      </c>
      <c r="L2" s="1">
        <v>248.4</v>
      </c>
      <c r="M2" s="1">
        <v>70.400000000000006</v>
      </c>
      <c r="N2" s="1">
        <v>35</v>
      </c>
      <c r="O2" s="1" t="s">
        <v>19</v>
      </c>
      <c r="P2" s="1" t="s">
        <v>20</v>
      </c>
    </row>
    <row r="3" spans="1:16" x14ac:dyDescent="0.3">
      <c r="A3" s="1">
        <v>100865</v>
      </c>
      <c r="B3" s="2">
        <v>45539</v>
      </c>
      <c r="C3" s="1" t="s">
        <v>21</v>
      </c>
      <c r="D3" s="1" t="s">
        <v>22</v>
      </c>
      <c r="E3" s="1" t="s">
        <v>17</v>
      </c>
      <c r="F3" s="1" t="s">
        <v>1238</v>
      </c>
      <c r="G3" s="1" t="s">
        <v>18</v>
      </c>
      <c r="H3" s="1">
        <v>2</v>
      </c>
      <c r="I3" s="1">
        <f>Table1[[#This Row],[Units_Sold]]*Table1[[#This Row],[Unit_Price]]</f>
        <v>54.14</v>
      </c>
      <c r="J3" s="1">
        <v>27.07</v>
      </c>
      <c r="K3" s="1">
        <v>0</v>
      </c>
      <c r="L3" s="1">
        <v>54.14</v>
      </c>
      <c r="M3" s="1">
        <v>11.35</v>
      </c>
      <c r="N3" s="1">
        <v>48</v>
      </c>
      <c r="O3" s="1" t="s">
        <v>19</v>
      </c>
      <c r="P3" s="1" t="s">
        <v>20</v>
      </c>
    </row>
    <row r="4" spans="1:16" x14ac:dyDescent="0.3">
      <c r="A4" s="1">
        <v>100101</v>
      </c>
      <c r="B4" s="2">
        <v>45559</v>
      </c>
      <c r="C4" s="1" t="s">
        <v>23</v>
      </c>
      <c r="D4" s="1" t="s">
        <v>24</v>
      </c>
      <c r="E4" s="1" t="s">
        <v>25</v>
      </c>
      <c r="F4" s="1" t="s">
        <v>1237</v>
      </c>
      <c r="G4" s="1" t="s">
        <v>18</v>
      </c>
      <c r="H4" s="1">
        <v>3</v>
      </c>
      <c r="I4" s="1">
        <f>Table1[[#This Row],[Units_Sold]]*Table1[[#This Row],[Unit_Price]]</f>
        <v>289.74</v>
      </c>
      <c r="J4" s="1">
        <v>96.58</v>
      </c>
      <c r="K4" s="1">
        <v>20</v>
      </c>
      <c r="L4" s="1">
        <v>231.79</v>
      </c>
      <c r="M4" s="1">
        <v>61.86</v>
      </c>
      <c r="N4" s="1">
        <v>34</v>
      </c>
      <c r="O4" s="1" t="s">
        <v>26</v>
      </c>
      <c r="P4" s="1" t="s">
        <v>27</v>
      </c>
    </row>
    <row r="5" spans="1:16" x14ac:dyDescent="0.3">
      <c r="A5" s="1">
        <v>100439</v>
      </c>
      <c r="B5" s="2">
        <v>45294</v>
      </c>
      <c r="C5" s="1" t="s">
        <v>28</v>
      </c>
      <c r="D5" s="1" t="s">
        <v>29</v>
      </c>
      <c r="E5" s="1" t="s">
        <v>30</v>
      </c>
      <c r="F5" s="1" t="s">
        <v>1239</v>
      </c>
      <c r="G5" s="1" t="s">
        <v>31</v>
      </c>
      <c r="H5" s="1">
        <v>5</v>
      </c>
      <c r="I5" s="1">
        <f>Table1[[#This Row],[Units_Sold]]*Table1[[#This Row],[Unit_Price]]</f>
        <v>87.449999999999989</v>
      </c>
      <c r="J5" s="1">
        <v>17.489999999999998</v>
      </c>
      <c r="K5" s="1">
        <v>10</v>
      </c>
      <c r="L5" s="1">
        <v>78.7</v>
      </c>
      <c r="M5" s="1">
        <v>35.99</v>
      </c>
      <c r="N5" s="1">
        <v>30</v>
      </c>
      <c r="O5" s="1" t="s">
        <v>19</v>
      </c>
      <c r="P5" s="1" t="s">
        <v>32</v>
      </c>
    </row>
    <row r="6" spans="1:16" x14ac:dyDescent="0.3">
      <c r="A6" s="1">
        <v>100058</v>
      </c>
      <c r="B6" s="2">
        <v>45206</v>
      </c>
      <c r="C6" s="1" t="s">
        <v>33</v>
      </c>
      <c r="D6" s="1" t="s">
        <v>34</v>
      </c>
      <c r="E6" s="1" t="s">
        <v>30</v>
      </c>
      <c r="F6" s="1" t="s">
        <v>1238</v>
      </c>
      <c r="G6" s="1" t="s">
        <v>31</v>
      </c>
      <c r="H6" s="1">
        <v>3</v>
      </c>
      <c r="I6" s="1">
        <f>Table1[[#This Row],[Units_Sold]]*Table1[[#This Row],[Unit_Price]]</f>
        <v>176.88</v>
      </c>
      <c r="J6" s="1">
        <v>58.96</v>
      </c>
      <c r="K6" s="1">
        <v>5</v>
      </c>
      <c r="L6" s="1">
        <v>168.04</v>
      </c>
      <c r="M6" s="1">
        <v>68.38</v>
      </c>
      <c r="N6" s="1">
        <v>30</v>
      </c>
      <c r="O6" s="1" t="s">
        <v>19</v>
      </c>
      <c r="P6" s="1" t="s">
        <v>35</v>
      </c>
    </row>
    <row r="7" spans="1:16" x14ac:dyDescent="0.3">
      <c r="A7" s="1">
        <v>101120</v>
      </c>
      <c r="B7" s="2">
        <v>45595</v>
      </c>
      <c r="C7" s="1" t="s">
        <v>36</v>
      </c>
      <c r="D7" s="1" t="s">
        <v>37</v>
      </c>
      <c r="E7" s="1" t="s">
        <v>17</v>
      </c>
      <c r="F7" s="1" t="s">
        <v>1238</v>
      </c>
      <c r="G7" s="1" t="s">
        <v>18</v>
      </c>
      <c r="H7" s="1">
        <v>1</v>
      </c>
      <c r="I7" s="1">
        <f>Table1[[#This Row],[Units_Sold]]*Table1[[#This Row],[Unit_Price]]</f>
        <v>72.5</v>
      </c>
      <c r="J7" s="1">
        <v>72.5</v>
      </c>
      <c r="K7" s="1">
        <v>5</v>
      </c>
      <c r="L7" s="1">
        <v>68.88</v>
      </c>
      <c r="M7" s="1">
        <v>16.649999999999999</v>
      </c>
      <c r="N7" s="1">
        <v>32</v>
      </c>
      <c r="O7" s="1" t="s">
        <v>19</v>
      </c>
      <c r="P7" s="1" t="s">
        <v>32</v>
      </c>
    </row>
    <row r="8" spans="1:16" x14ac:dyDescent="0.3">
      <c r="A8" s="1">
        <v>100323</v>
      </c>
      <c r="B8" s="2">
        <v>45049</v>
      </c>
      <c r="C8" s="1" t="s">
        <v>38</v>
      </c>
      <c r="D8" s="1" t="s">
        <v>39</v>
      </c>
      <c r="E8" s="1" t="s">
        <v>25</v>
      </c>
      <c r="F8" s="1" t="s">
        <v>1237</v>
      </c>
      <c r="G8" s="1" t="s">
        <v>18</v>
      </c>
      <c r="H8" s="1">
        <v>4</v>
      </c>
      <c r="I8" s="1">
        <f>Table1[[#This Row],[Units_Sold]]*Table1[[#This Row],[Unit_Price]]</f>
        <v>728.64</v>
      </c>
      <c r="J8" s="1">
        <v>182.16</v>
      </c>
      <c r="K8" s="1">
        <v>0</v>
      </c>
      <c r="L8" s="1">
        <v>728.64</v>
      </c>
      <c r="M8" s="1">
        <v>227.81</v>
      </c>
      <c r="N8" s="1">
        <v>29</v>
      </c>
      <c r="O8" s="1" t="s">
        <v>19</v>
      </c>
      <c r="P8" s="1" t="s">
        <v>20</v>
      </c>
    </row>
    <row r="9" spans="1:16" x14ac:dyDescent="0.3">
      <c r="A9" s="1">
        <v>100974</v>
      </c>
      <c r="B9" s="2">
        <v>45283</v>
      </c>
      <c r="C9" s="1" t="s">
        <v>40</v>
      </c>
      <c r="D9" s="1" t="s">
        <v>34</v>
      </c>
      <c r="E9" s="1" t="s">
        <v>30</v>
      </c>
      <c r="F9" s="1" t="s">
        <v>1240</v>
      </c>
      <c r="G9" s="1" t="s">
        <v>31</v>
      </c>
      <c r="H9" s="1">
        <v>3</v>
      </c>
      <c r="I9" s="1">
        <f>Table1[[#This Row],[Units_Sold]]*Table1[[#This Row],[Unit_Price]]</f>
        <v>171.57</v>
      </c>
      <c r="J9" s="1">
        <v>57.19</v>
      </c>
      <c r="K9" s="1">
        <v>0</v>
      </c>
      <c r="L9" s="1">
        <v>171.57</v>
      </c>
      <c r="M9" s="1">
        <v>52.43</v>
      </c>
      <c r="N9" s="1">
        <v>49</v>
      </c>
      <c r="O9" s="1" t="s">
        <v>19</v>
      </c>
      <c r="P9" s="1" t="s">
        <v>27</v>
      </c>
    </row>
    <row r="10" spans="1:16" x14ac:dyDescent="0.3">
      <c r="A10" s="1">
        <v>100411</v>
      </c>
      <c r="B10" s="2">
        <v>45229</v>
      </c>
      <c r="C10" s="1" t="s">
        <v>41</v>
      </c>
      <c r="D10" s="1" t="s">
        <v>42</v>
      </c>
      <c r="E10" s="1" t="s">
        <v>25</v>
      </c>
      <c r="F10" s="1" t="s">
        <v>1238</v>
      </c>
      <c r="G10" s="1" t="s">
        <v>18</v>
      </c>
      <c r="H10" s="1">
        <v>3</v>
      </c>
      <c r="I10" s="1">
        <f>Table1[[#This Row],[Units_Sold]]*Table1[[#This Row],[Unit_Price]]</f>
        <v>456.27</v>
      </c>
      <c r="J10" s="1">
        <v>152.09</v>
      </c>
      <c r="K10" s="1">
        <v>10</v>
      </c>
      <c r="L10" s="1">
        <v>410.64</v>
      </c>
      <c r="M10" s="1">
        <v>93.96</v>
      </c>
      <c r="N10" s="1">
        <v>27</v>
      </c>
      <c r="O10" s="1" t="s">
        <v>19</v>
      </c>
      <c r="P10" s="1" t="s">
        <v>43</v>
      </c>
    </row>
    <row r="11" spans="1:16" x14ac:dyDescent="0.3">
      <c r="A11" s="1">
        <v>100855</v>
      </c>
      <c r="B11" s="2">
        <v>45050</v>
      </c>
      <c r="C11" s="1" t="s">
        <v>44</v>
      </c>
      <c r="D11" s="1" t="s">
        <v>45</v>
      </c>
      <c r="E11" s="1" t="s">
        <v>30</v>
      </c>
      <c r="F11" s="1" t="s">
        <v>1241</v>
      </c>
      <c r="G11" s="1" t="s">
        <v>31</v>
      </c>
      <c r="H11" s="1">
        <v>1</v>
      </c>
      <c r="I11" s="1">
        <f>Table1[[#This Row],[Units_Sold]]*Table1[[#This Row],[Unit_Price]]</f>
        <v>15.26</v>
      </c>
      <c r="J11" s="1">
        <v>15.26</v>
      </c>
      <c r="K11" s="1">
        <v>20</v>
      </c>
      <c r="L11" s="1">
        <v>12.21</v>
      </c>
      <c r="M11" s="1">
        <v>3.82</v>
      </c>
      <c r="N11" s="1">
        <v>33</v>
      </c>
      <c r="O11" s="1" t="s">
        <v>26</v>
      </c>
      <c r="P11" s="1" t="s">
        <v>46</v>
      </c>
    </row>
    <row r="12" spans="1:16" x14ac:dyDescent="0.3">
      <c r="A12" s="1">
        <v>100820</v>
      </c>
      <c r="B12" s="2">
        <v>45279</v>
      </c>
      <c r="C12" s="1" t="s">
        <v>47</v>
      </c>
      <c r="D12" s="1" t="s">
        <v>29</v>
      </c>
      <c r="E12" s="1" t="s">
        <v>30</v>
      </c>
      <c r="F12" s="1" t="s">
        <v>1241</v>
      </c>
      <c r="G12" s="1" t="s">
        <v>48</v>
      </c>
      <c r="H12" s="1">
        <v>1</v>
      </c>
      <c r="I12" s="1">
        <f>Table1[[#This Row],[Units_Sold]]*Table1[[#This Row],[Unit_Price]]</f>
        <v>18.61</v>
      </c>
      <c r="J12" s="1">
        <v>18.61</v>
      </c>
      <c r="K12" s="1">
        <v>20</v>
      </c>
      <c r="L12" s="1">
        <v>14.89</v>
      </c>
      <c r="M12" s="1">
        <v>6.07</v>
      </c>
      <c r="N12" s="1">
        <v>25</v>
      </c>
      <c r="O12" s="1" t="s">
        <v>26</v>
      </c>
      <c r="P12" s="1" t="s">
        <v>46</v>
      </c>
    </row>
    <row r="13" spans="1:16" x14ac:dyDescent="0.3">
      <c r="A13" s="1">
        <v>100044</v>
      </c>
      <c r="B13" s="2">
        <v>45459</v>
      </c>
      <c r="C13" s="1" t="s">
        <v>49</v>
      </c>
      <c r="D13" s="1" t="s">
        <v>45</v>
      </c>
      <c r="E13" s="1" t="s">
        <v>30</v>
      </c>
      <c r="F13" s="1" t="s">
        <v>1240</v>
      </c>
      <c r="G13" s="1" t="s">
        <v>31</v>
      </c>
      <c r="H13" s="1">
        <v>1</v>
      </c>
      <c r="I13" s="1">
        <f>Table1[[#This Row],[Units_Sold]]*Table1[[#This Row],[Unit_Price]]</f>
        <v>14.47</v>
      </c>
      <c r="J13" s="1">
        <v>14.47</v>
      </c>
      <c r="K13" s="1">
        <v>0</v>
      </c>
      <c r="L13" s="1">
        <v>14.47</v>
      </c>
      <c r="M13" s="1">
        <v>3.08</v>
      </c>
      <c r="N13" s="1">
        <v>34</v>
      </c>
      <c r="O13" s="1" t="s">
        <v>26</v>
      </c>
      <c r="P13" s="1" t="s">
        <v>32</v>
      </c>
    </row>
    <row r="14" spans="1:16" x14ac:dyDescent="0.3">
      <c r="A14" s="1">
        <v>100049</v>
      </c>
      <c r="B14" s="2">
        <v>45022</v>
      </c>
      <c r="C14" s="1" t="s">
        <v>50</v>
      </c>
      <c r="D14" s="1" t="s">
        <v>37</v>
      </c>
      <c r="E14" s="1" t="s">
        <v>17</v>
      </c>
      <c r="F14" s="1" t="s">
        <v>1241</v>
      </c>
      <c r="G14" s="1" t="s">
        <v>18</v>
      </c>
      <c r="H14" s="1">
        <v>2</v>
      </c>
      <c r="I14" s="1">
        <f>Table1[[#This Row],[Units_Sold]]*Table1[[#This Row],[Unit_Price]]</f>
        <v>128.52000000000001</v>
      </c>
      <c r="J14" s="1">
        <v>64.260000000000005</v>
      </c>
      <c r="K14" s="1">
        <v>0</v>
      </c>
      <c r="L14" s="1">
        <v>128.52000000000001</v>
      </c>
      <c r="M14" s="1">
        <v>48.57</v>
      </c>
      <c r="N14" s="1">
        <v>18</v>
      </c>
      <c r="O14" s="1" t="s">
        <v>26</v>
      </c>
      <c r="P14" s="1" t="s">
        <v>51</v>
      </c>
    </row>
    <row r="15" spans="1:16" x14ac:dyDescent="0.3">
      <c r="A15" s="1">
        <v>100849</v>
      </c>
      <c r="B15" s="2">
        <v>45114</v>
      </c>
      <c r="C15" s="1" t="s">
        <v>52</v>
      </c>
      <c r="D15" s="1" t="s">
        <v>53</v>
      </c>
      <c r="E15" s="1" t="s">
        <v>30</v>
      </c>
      <c r="F15" s="1" t="s">
        <v>1238</v>
      </c>
      <c r="G15" s="1" t="s">
        <v>18</v>
      </c>
      <c r="H15" s="1">
        <v>5</v>
      </c>
      <c r="I15" s="1">
        <f>Table1[[#This Row],[Units_Sold]]*Table1[[#This Row],[Unit_Price]]</f>
        <v>105.15</v>
      </c>
      <c r="J15" s="1">
        <v>21.03</v>
      </c>
      <c r="K15" s="1">
        <v>10</v>
      </c>
      <c r="L15" s="1">
        <v>94.64</v>
      </c>
      <c r="M15" s="1">
        <v>38.46</v>
      </c>
      <c r="N15" s="1">
        <v>39</v>
      </c>
      <c r="O15" s="1" t="s">
        <v>26</v>
      </c>
      <c r="P15" s="1" t="s">
        <v>46</v>
      </c>
    </row>
    <row r="16" spans="1:16" x14ac:dyDescent="0.3">
      <c r="A16" s="1">
        <v>100240</v>
      </c>
      <c r="B16" s="2">
        <v>45376</v>
      </c>
      <c r="C16" s="1" t="s">
        <v>54</v>
      </c>
      <c r="D16" s="1" t="s">
        <v>37</v>
      </c>
      <c r="E16" s="1" t="s">
        <v>17</v>
      </c>
      <c r="F16" s="1" t="s">
        <v>1237</v>
      </c>
      <c r="G16" s="1" t="s">
        <v>31</v>
      </c>
      <c r="H16" s="1">
        <v>2</v>
      </c>
      <c r="I16" s="1">
        <f>Table1[[#This Row],[Units_Sold]]*Table1[[#This Row],[Unit_Price]]</f>
        <v>128.9</v>
      </c>
      <c r="J16" s="1">
        <v>64.45</v>
      </c>
      <c r="K16" s="1">
        <v>0</v>
      </c>
      <c r="L16" s="1">
        <v>128.9</v>
      </c>
      <c r="M16" s="1">
        <v>40.96</v>
      </c>
      <c r="N16" s="1">
        <v>42</v>
      </c>
      <c r="O16" s="1" t="s">
        <v>26</v>
      </c>
      <c r="P16" s="1" t="s">
        <v>20</v>
      </c>
    </row>
    <row r="17" spans="1:16" x14ac:dyDescent="0.3">
      <c r="A17" s="1">
        <v>100170</v>
      </c>
      <c r="B17" s="2">
        <v>45574</v>
      </c>
      <c r="C17" s="1" t="s">
        <v>55</v>
      </c>
      <c r="D17" s="1" t="s">
        <v>56</v>
      </c>
      <c r="E17" s="1" t="s">
        <v>30</v>
      </c>
      <c r="F17" s="1" t="s">
        <v>1237</v>
      </c>
      <c r="G17" s="1" t="s">
        <v>18</v>
      </c>
      <c r="H17" s="1">
        <v>4</v>
      </c>
      <c r="I17" s="1">
        <f>Table1[[#This Row],[Units_Sold]]*Table1[[#This Row],[Unit_Price]]</f>
        <v>176.76</v>
      </c>
      <c r="J17" s="1">
        <v>44.19</v>
      </c>
      <c r="K17" s="1">
        <v>0</v>
      </c>
      <c r="L17" s="1">
        <v>176.76</v>
      </c>
      <c r="M17" s="1">
        <v>58.37</v>
      </c>
      <c r="N17" s="1">
        <v>36</v>
      </c>
      <c r="O17" s="1" t="s">
        <v>26</v>
      </c>
      <c r="P17" s="1" t="s">
        <v>43</v>
      </c>
    </row>
    <row r="18" spans="1:16" x14ac:dyDescent="0.3">
      <c r="A18" s="1">
        <v>100523</v>
      </c>
      <c r="B18" s="2">
        <v>45463</v>
      </c>
      <c r="C18" s="1" t="s">
        <v>57</v>
      </c>
      <c r="D18" s="1" t="s">
        <v>45</v>
      </c>
      <c r="E18" s="1" t="s">
        <v>30</v>
      </c>
      <c r="F18" s="1" t="s">
        <v>1238</v>
      </c>
      <c r="G18" s="1" t="s">
        <v>31</v>
      </c>
      <c r="H18" s="1">
        <v>4</v>
      </c>
      <c r="I18" s="1">
        <f>Table1[[#This Row],[Units_Sold]]*Table1[[#This Row],[Unit_Price]]</f>
        <v>55.92</v>
      </c>
      <c r="J18" s="1">
        <v>13.98</v>
      </c>
      <c r="K18" s="1">
        <v>5</v>
      </c>
      <c r="L18" s="1">
        <v>53.12</v>
      </c>
      <c r="M18" s="1">
        <v>18.21</v>
      </c>
      <c r="N18" s="1">
        <v>51</v>
      </c>
      <c r="O18" s="1" t="s">
        <v>19</v>
      </c>
      <c r="P18" s="1" t="s">
        <v>46</v>
      </c>
    </row>
    <row r="19" spans="1:16" x14ac:dyDescent="0.3">
      <c r="A19" s="1">
        <v>100765</v>
      </c>
      <c r="B19" s="2">
        <v>45845</v>
      </c>
      <c r="C19" s="1" t="s">
        <v>58</v>
      </c>
      <c r="D19" s="1" t="s">
        <v>59</v>
      </c>
      <c r="E19" s="1" t="s">
        <v>17</v>
      </c>
      <c r="F19" s="1" t="s">
        <v>1239</v>
      </c>
      <c r="G19" s="1" t="s">
        <v>18</v>
      </c>
      <c r="H19" s="1">
        <v>3</v>
      </c>
      <c r="I19" s="1">
        <f>Table1[[#This Row],[Units_Sold]]*Table1[[#This Row],[Unit_Price]]</f>
        <v>93</v>
      </c>
      <c r="J19" s="1">
        <v>31</v>
      </c>
      <c r="K19" s="1">
        <v>0</v>
      </c>
      <c r="L19" s="1">
        <v>93</v>
      </c>
      <c r="M19" s="1">
        <v>32.93</v>
      </c>
      <c r="N19" s="1">
        <v>21</v>
      </c>
      <c r="O19" s="1" t="s">
        <v>19</v>
      </c>
      <c r="P19" s="1" t="s">
        <v>35</v>
      </c>
    </row>
    <row r="20" spans="1:16" x14ac:dyDescent="0.3">
      <c r="A20" s="1">
        <v>100838</v>
      </c>
      <c r="B20" s="2">
        <v>45450</v>
      </c>
      <c r="C20" s="1" t="s">
        <v>60</v>
      </c>
      <c r="D20" s="1" t="s">
        <v>45</v>
      </c>
      <c r="E20" s="1" t="s">
        <v>30</v>
      </c>
      <c r="F20" s="1" t="s">
        <v>1238</v>
      </c>
      <c r="G20" s="1" t="s">
        <v>31</v>
      </c>
      <c r="H20" s="1">
        <v>2</v>
      </c>
      <c r="I20" s="1">
        <f>Table1[[#This Row],[Units_Sold]]*Table1[[#This Row],[Unit_Price]]</f>
        <v>31.7</v>
      </c>
      <c r="J20" s="1">
        <v>15.85</v>
      </c>
      <c r="K20" s="1">
        <v>5</v>
      </c>
      <c r="L20" s="1">
        <v>30.11</v>
      </c>
      <c r="M20" s="1">
        <v>12</v>
      </c>
      <c r="N20" s="1">
        <v>35</v>
      </c>
      <c r="O20" s="1" t="s">
        <v>26</v>
      </c>
      <c r="P20" s="1" t="s">
        <v>20</v>
      </c>
    </row>
    <row r="21" spans="1:16" x14ac:dyDescent="0.3">
      <c r="A21" s="1">
        <v>100423</v>
      </c>
      <c r="B21" s="2">
        <v>45490</v>
      </c>
      <c r="C21" s="1" t="s">
        <v>61</v>
      </c>
      <c r="D21" s="1" t="s">
        <v>62</v>
      </c>
      <c r="E21" s="1" t="s">
        <v>17</v>
      </c>
      <c r="F21" s="1" t="s">
        <v>1241</v>
      </c>
      <c r="G21" s="1" t="s">
        <v>31</v>
      </c>
      <c r="H21" s="1">
        <v>5</v>
      </c>
      <c r="I21" s="1">
        <f>Table1[[#This Row],[Units_Sold]]*Table1[[#This Row],[Unit_Price]]</f>
        <v>753.65</v>
      </c>
      <c r="J21" s="1">
        <v>150.72999999999999</v>
      </c>
      <c r="K21" s="1">
        <v>5</v>
      </c>
      <c r="L21" s="1">
        <v>715.97</v>
      </c>
      <c r="M21" s="1">
        <v>194.99</v>
      </c>
      <c r="N21" s="1">
        <v>42</v>
      </c>
      <c r="O21" s="1" t="s">
        <v>19</v>
      </c>
      <c r="P21" s="1" t="s">
        <v>46</v>
      </c>
    </row>
    <row r="22" spans="1:16" x14ac:dyDescent="0.3">
      <c r="A22" s="1">
        <v>100380</v>
      </c>
      <c r="B22" s="2">
        <v>45790</v>
      </c>
      <c r="C22" s="1" t="s">
        <v>63</v>
      </c>
      <c r="D22" s="1" t="s">
        <v>53</v>
      </c>
      <c r="E22" s="1" t="s">
        <v>30</v>
      </c>
      <c r="F22" s="1" t="s">
        <v>1237</v>
      </c>
      <c r="G22" s="1" t="s">
        <v>64</v>
      </c>
      <c r="H22" s="1">
        <v>2</v>
      </c>
      <c r="I22" s="1">
        <f>Table1[[#This Row],[Units_Sold]]*Table1[[#This Row],[Unit_Price]]</f>
        <v>38.18</v>
      </c>
      <c r="J22" s="1">
        <v>19.09</v>
      </c>
      <c r="K22" s="1">
        <v>0</v>
      </c>
      <c r="L22" s="1">
        <v>38.18</v>
      </c>
      <c r="M22" s="1">
        <v>15.81</v>
      </c>
      <c r="N22" s="1">
        <v>30</v>
      </c>
      <c r="O22" s="1" t="s">
        <v>26</v>
      </c>
      <c r="P22" s="1" t="s">
        <v>20</v>
      </c>
    </row>
    <row r="23" spans="1:16" x14ac:dyDescent="0.3">
      <c r="A23" s="1">
        <v>100609</v>
      </c>
      <c r="B23" s="2">
        <v>45505</v>
      </c>
      <c r="C23" s="1" t="s">
        <v>65</v>
      </c>
      <c r="D23" s="1" t="s">
        <v>66</v>
      </c>
      <c r="E23" s="1" t="s">
        <v>17</v>
      </c>
      <c r="F23" s="1" t="s">
        <v>1241</v>
      </c>
      <c r="G23" s="1" t="s">
        <v>31</v>
      </c>
      <c r="H23" s="1">
        <v>6</v>
      </c>
      <c r="I23" s="1">
        <f>Table1[[#This Row],[Units_Sold]]*Table1[[#This Row],[Unit_Price]]</f>
        <v>779.69999999999993</v>
      </c>
      <c r="J23" s="1">
        <v>129.94999999999999</v>
      </c>
      <c r="K23" s="1">
        <v>0</v>
      </c>
      <c r="L23" s="1">
        <v>779.7</v>
      </c>
      <c r="M23" s="1">
        <v>212.91</v>
      </c>
      <c r="N23" s="1">
        <v>32</v>
      </c>
      <c r="O23" s="1" t="s">
        <v>26</v>
      </c>
      <c r="P23" s="1" t="s">
        <v>43</v>
      </c>
    </row>
    <row r="24" spans="1:16" x14ac:dyDescent="0.3">
      <c r="A24" s="1">
        <v>100676</v>
      </c>
      <c r="B24" s="2">
        <v>45635</v>
      </c>
      <c r="C24" s="1" t="s">
        <v>67</v>
      </c>
      <c r="D24" s="1" t="s">
        <v>68</v>
      </c>
      <c r="E24" s="1" t="s">
        <v>25</v>
      </c>
      <c r="F24" s="1" t="s">
        <v>1237</v>
      </c>
      <c r="G24" s="1" t="s">
        <v>31</v>
      </c>
      <c r="H24" s="1">
        <v>3</v>
      </c>
      <c r="I24" s="1">
        <f>Table1[[#This Row],[Units_Sold]]*Table1[[#This Row],[Unit_Price]]</f>
        <v>680.16</v>
      </c>
      <c r="J24" s="1">
        <v>226.72</v>
      </c>
      <c r="K24" s="1">
        <v>20</v>
      </c>
      <c r="L24" s="1">
        <v>544.13</v>
      </c>
      <c r="M24" s="1">
        <v>140.88999999999999</v>
      </c>
      <c r="N24" s="1">
        <v>16</v>
      </c>
      <c r="O24" s="1" t="s">
        <v>26</v>
      </c>
      <c r="P24" s="1" t="s">
        <v>35</v>
      </c>
    </row>
    <row r="25" spans="1:16" x14ac:dyDescent="0.3">
      <c r="A25" s="1">
        <v>100344</v>
      </c>
      <c r="B25" s="2">
        <v>45052</v>
      </c>
      <c r="C25" s="1" t="s">
        <v>69</v>
      </c>
      <c r="D25" s="1" t="s">
        <v>70</v>
      </c>
      <c r="E25" s="1" t="s">
        <v>25</v>
      </c>
      <c r="F25" s="1" t="s">
        <v>1241</v>
      </c>
      <c r="G25" s="1" t="s">
        <v>64</v>
      </c>
      <c r="H25" s="1">
        <v>3</v>
      </c>
      <c r="I25" s="1">
        <f>Table1[[#This Row],[Units_Sold]]*Table1[[#This Row],[Unit_Price]]</f>
        <v>440.34000000000003</v>
      </c>
      <c r="J25" s="1">
        <v>146.78</v>
      </c>
      <c r="K25" s="1">
        <v>0</v>
      </c>
      <c r="L25" s="1">
        <v>440.34</v>
      </c>
      <c r="M25" s="1">
        <v>112.48</v>
      </c>
      <c r="N25" s="1">
        <v>42</v>
      </c>
      <c r="O25" s="1" t="s">
        <v>26</v>
      </c>
      <c r="P25" s="1" t="s">
        <v>32</v>
      </c>
    </row>
    <row r="26" spans="1:16" x14ac:dyDescent="0.3">
      <c r="A26" s="1">
        <v>100109</v>
      </c>
      <c r="B26" s="2">
        <v>45548</v>
      </c>
      <c r="C26" s="1" t="s">
        <v>71</v>
      </c>
      <c r="D26" s="1" t="s">
        <v>59</v>
      </c>
      <c r="E26" s="1" t="s">
        <v>17</v>
      </c>
      <c r="F26" s="1" t="s">
        <v>1241</v>
      </c>
      <c r="G26" s="1" t="s">
        <v>18</v>
      </c>
      <c r="H26" s="1">
        <v>3</v>
      </c>
      <c r="I26" s="1">
        <f>Table1[[#This Row],[Units_Sold]]*Table1[[#This Row],[Unit_Price]]</f>
        <v>86.97</v>
      </c>
      <c r="J26" s="1">
        <v>28.99</v>
      </c>
      <c r="K26" s="1">
        <v>20</v>
      </c>
      <c r="L26" s="1">
        <v>69.58</v>
      </c>
      <c r="M26" s="1">
        <v>18.350000000000001</v>
      </c>
      <c r="N26" s="1">
        <v>37</v>
      </c>
      <c r="O26" s="1" t="s">
        <v>19</v>
      </c>
      <c r="P26" s="1" t="s">
        <v>35</v>
      </c>
    </row>
    <row r="27" spans="1:16" x14ac:dyDescent="0.3">
      <c r="A27" s="1">
        <v>100277</v>
      </c>
      <c r="B27" s="2">
        <v>45892</v>
      </c>
      <c r="C27" s="1" t="s">
        <v>72</v>
      </c>
      <c r="D27" s="1" t="s">
        <v>73</v>
      </c>
      <c r="E27" s="1" t="s">
        <v>25</v>
      </c>
      <c r="F27" s="1" t="s">
        <v>1241</v>
      </c>
      <c r="G27" s="1" t="s">
        <v>31</v>
      </c>
      <c r="H27" s="1">
        <v>4</v>
      </c>
      <c r="I27" s="1">
        <f>Table1[[#This Row],[Units_Sold]]*Table1[[#This Row],[Unit_Price]]</f>
        <v>139.80000000000001</v>
      </c>
      <c r="J27" s="1">
        <v>34.950000000000003</v>
      </c>
      <c r="K27" s="1">
        <v>5</v>
      </c>
      <c r="L27" s="1">
        <v>132.81</v>
      </c>
      <c r="M27" s="1">
        <v>48.4</v>
      </c>
      <c r="N27" s="1">
        <v>26</v>
      </c>
      <c r="O27" s="1" t="s">
        <v>19</v>
      </c>
      <c r="P27" s="1" t="s">
        <v>32</v>
      </c>
    </row>
    <row r="28" spans="1:16" x14ac:dyDescent="0.3">
      <c r="A28" s="1">
        <v>100677</v>
      </c>
      <c r="B28" s="2">
        <v>45661</v>
      </c>
      <c r="C28" s="1" t="s">
        <v>74</v>
      </c>
      <c r="D28" s="1" t="s">
        <v>53</v>
      </c>
      <c r="E28" s="1" t="s">
        <v>30</v>
      </c>
      <c r="F28" s="1" t="s">
        <v>1241</v>
      </c>
      <c r="G28" s="1" t="s">
        <v>48</v>
      </c>
      <c r="H28" s="1">
        <v>4</v>
      </c>
      <c r="I28" s="1">
        <f>Table1[[#This Row],[Units_Sold]]*Table1[[#This Row],[Unit_Price]]</f>
        <v>88.32</v>
      </c>
      <c r="J28" s="1">
        <v>22.08</v>
      </c>
      <c r="K28" s="1">
        <v>0</v>
      </c>
      <c r="L28" s="1">
        <v>88.32</v>
      </c>
      <c r="M28" s="1">
        <v>19.61</v>
      </c>
      <c r="N28" s="1">
        <v>24</v>
      </c>
      <c r="O28" s="1" t="s">
        <v>26</v>
      </c>
      <c r="P28" s="1" t="s">
        <v>32</v>
      </c>
    </row>
    <row r="29" spans="1:16" x14ac:dyDescent="0.3">
      <c r="A29" s="1">
        <v>100570</v>
      </c>
      <c r="B29" s="2">
        <v>45188</v>
      </c>
      <c r="C29" s="1" t="s">
        <v>75</v>
      </c>
      <c r="D29" s="1" t="s">
        <v>42</v>
      </c>
      <c r="E29" s="1" t="s">
        <v>25</v>
      </c>
      <c r="F29" s="1" t="s">
        <v>1241</v>
      </c>
      <c r="G29" s="1" t="s">
        <v>31</v>
      </c>
      <c r="H29" s="1">
        <v>3</v>
      </c>
      <c r="I29" s="1">
        <f>Table1[[#This Row],[Units_Sold]]*Table1[[#This Row],[Unit_Price]]</f>
        <v>438.93</v>
      </c>
      <c r="J29" s="1">
        <v>146.31</v>
      </c>
      <c r="K29" s="1">
        <v>10</v>
      </c>
      <c r="L29" s="1">
        <v>395.04</v>
      </c>
      <c r="M29" s="1">
        <v>83.22</v>
      </c>
      <c r="N29" s="1">
        <v>20</v>
      </c>
      <c r="O29" s="1" t="s">
        <v>26</v>
      </c>
      <c r="P29" s="1" t="s">
        <v>46</v>
      </c>
    </row>
    <row r="30" spans="1:16" x14ac:dyDescent="0.3">
      <c r="A30" s="1">
        <v>100358</v>
      </c>
      <c r="B30" s="2">
        <v>45798</v>
      </c>
      <c r="C30" s="1" t="s">
        <v>76</v>
      </c>
      <c r="D30" s="1" t="s">
        <v>77</v>
      </c>
      <c r="E30" s="1" t="s">
        <v>30</v>
      </c>
      <c r="F30" s="1" t="s">
        <v>1237</v>
      </c>
      <c r="G30" s="1" t="s">
        <v>64</v>
      </c>
      <c r="H30" s="1">
        <v>1</v>
      </c>
      <c r="I30" s="1">
        <f>Table1[[#This Row],[Units_Sold]]*Table1[[#This Row],[Unit_Price]]</f>
        <v>41.79</v>
      </c>
      <c r="J30" s="1">
        <v>41.79</v>
      </c>
      <c r="K30" s="1">
        <v>10</v>
      </c>
      <c r="L30" s="1">
        <v>37.61</v>
      </c>
      <c r="M30" s="1">
        <v>11.63</v>
      </c>
      <c r="N30" s="1">
        <v>29</v>
      </c>
      <c r="O30" s="1" t="s">
        <v>19</v>
      </c>
      <c r="P30" s="1" t="s">
        <v>51</v>
      </c>
    </row>
    <row r="31" spans="1:16" x14ac:dyDescent="0.3">
      <c r="A31" s="1">
        <v>100598</v>
      </c>
      <c r="B31" s="2">
        <v>45109</v>
      </c>
      <c r="C31" s="1" t="s">
        <v>78</v>
      </c>
      <c r="D31" s="1" t="s">
        <v>42</v>
      </c>
      <c r="E31" s="1" t="s">
        <v>25</v>
      </c>
      <c r="F31" s="1" t="s">
        <v>1237</v>
      </c>
      <c r="G31" s="1" t="s">
        <v>31</v>
      </c>
      <c r="H31" s="1">
        <v>3</v>
      </c>
      <c r="I31" s="1">
        <f>Table1[[#This Row],[Units_Sold]]*Table1[[#This Row],[Unit_Price]]</f>
        <v>409.5</v>
      </c>
      <c r="J31" s="1">
        <v>136.5</v>
      </c>
      <c r="K31" s="1">
        <v>0</v>
      </c>
      <c r="L31" s="1">
        <v>409.5</v>
      </c>
      <c r="M31" s="1">
        <v>106.79</v>
      </c>
      <c r="N31" s="1">
        <v>31</v>
      </c>
      <c r="O31" s="1" t="s">
        <v>19</v>
      </c>
      <c r="P31" s="1" t="s">
        <v>35</v>
      </c>
    </row>
    <row r="32" spans="1:16" x14ac:dyDescent="0.3">
      <c r="A32" s="1">
        <v>100390</v>
      </c>
      <c r="B32" s="2">
        <v>45450</v>
      </c>
      <c r="C32" s="1" t="s">
        <v>79</v>
      </c>
      <c r="D32" s="1" t="s">
        <v>59</v>
      </c>
      <c r="E32" s="1" t="s">
        <v>17</v>
      </c>
      <c r="F32" s="1" t="s">
        <v>1237</v>
      </c>
      <c r="G32" s="1" t="s">
        <v>18</v>
      </c>
      <c r="H32" s="1">
        <v>4</v>
      </c>
      <c r="I32" s="1">
        <f>Table1[[#This Row],[Units_Sold]]*Table1[[#This Row],[Unit_Price]]</f>
        <v>115.8</v>
      </c>
      <c r="J32" s="1">
        <v>28.95</v>
      </c>
      <c r="K32" s="1">
        <v>0</v>
      </c>
      <c r="L32" s="1">
        <v>115.8</v>
      </c>
      <c r="M32" s="1">
        <v>33.4</v>
      </c>
      <c r="N32" s="1">
        <v>18</v>
      </c>
      <c r="O32" s="1" t="s">
        <v>19</v>
      </c>
      <c r="P32" s="1" t="s">
        <v>46</v>
      </c>
    </row>
    <row r="33" spans="1:16" x14ac:dyDescent="0.3">
      <c r="A33" s="1">
        <v>100893</v>
      </c>
      <c r="B33" s="2">
        <v>45263</v>
      </c>
      <c r="C33" s="1" t="s">
        <v>80</v>
      </c>
      <c r="D33" s="1" t="s">
        <v>42</v>
      </c>
      <c r="E33" s="1" t="s">
        <v>25</v>
      </c>
      <c r="F33" s="1" t="s">
        <v>1239</v>
      </c>
      <c r="G33" s="1" t="s">
        <v>48</v>
      </c>
      <c r="H33" s="1">
        <v>5</v>
      </c>
      <c r="I33" s="1">
        <f>Table1[[#This Row],[Units_Sold]]*Table1[[#This Row],[Unit_Price]]</f>
        <v>801.7</v>
      </c>
      <c r="J33" s="1">
        <v>160.34</v>
      </c>
      <c r="K33" s="1">
        <v>10</v>
      </c>
      <c r="L33" s="1">
        <v>721.53</v>
      </c>
      <c r="M33" s="1">
        <v>215.58</v>
      </c>
      <c r="N33" s="1">
        <v>39</v>
      </c>
      <c r="O33" s="1" t="s">
        <v>26</v>
      </c>
      <c r="P33" s="1" t="s">
        <v>81</v>
      </c>
    </row>
    <row r="34" spans="1:16" x14ac:dyDescent="0.3">
      <c r="A34" s="1">
        <v>100692</v>
      </c>
      <c r="B34" s="2">
        <v>45171</v>
      </c>
      <c r="C34" s="1" t="s">
        <v>82</v>
      </c>
      <c r="D34" s="1" t="s">
        <v>24</v>
      </c>
      <c r="E34" s="1" t="s">
        <v>25</v>
      </c>
      <c r="F34" s="1" t="s">
        <v>1237</v>
      </c>
      <c r="G34" s="1" t="s">
        <v>18</v>
      </c>
      <c r="H34" s="1">
        <v>3</v>
      </c>
      <c r="I34" s="1">
        <f>Table1[[#This Row],[Units_Sold]]*Table1[[#This Row],[Unit_Price]]</f>
        <v>252.27</v>
      </c>
      <c r="J34" s="1">
        <v>84.09</v>
      </c>
      <c r="K34" s="1">
        <v>10</v>
      </c>
      <c r="L34" s="1">
        <v>227.04</v>
      </c>
      <c r="M34" s="1">
        <v>53.17</v>
      </c>
      <c r="N34" s="1">
        <v>30</v>
      </c>
      <c r="O34" s="1" t="s">
        <v>26</v>
      </c>
      <c r="P34" s="1" t="s">
        <v>81</v>
      </c>
    </row>
    <row r="35" spans="1:16" x14ac:dyDescent="0.3">
      <c r="A35" s="1">
        <v>100727</v>
      </c>
      <c r="B35" s="2">
        <v>45354</v>
      </c>
      <c r="C35" s="1" t="s">
        <v>83</v>
      </c>
      <c r="D35" s="1" t="s">
        <v>29</v>
      </c>
      <c r="E35" s="1" t="s">
        <v>30</v>
      </c>
      <c r="F35" s="1" t="s">
        <v>1241</v>
      </c>
      <c r="G35" s="1" t="s">
        <v>18</v>
      </c>
      <c r="H35" s="1">
        <v>4</v>
      </c>
      <c r="I35" s="1">
        <f>Table1[[#This Row],[Units_Sold]]*Table1[[#This Row],[Unit_Price]]</f>
        <v>75.08</v>
      </c>
      <c r="J35" s="1">
        <v>18.77</v>
      </c>
      <c r="K35" s="1">
        <v>0</v>
      </c>
      <c r="L35" s="1">
        <v>75.08</v>
      </c>
      <c r="M35" s="1">
        <v>28.42</v>
      </c>
      <c r="N35" s="1">
        <v>34</v>
      </c>
      <c r="O35" s="1" t="s">
        <v>26</v>
      </c>
      <c r="P35" s="1" t="s">
        <v>43</v>
      </c>
    </row>
    <row r="36" spans="1:16" x14ac:dyDescent="0.3">
      <c r="A36" s="1">
        <v>100362</v>
      </c>
      <c r="B36" s="2">
        <v>45734</v>
      </c>
      <c r="C36" s="1" t="s">
        <v>84</v>
      </c>
      <c r="D36" s="1" t="s">
        <v>77</v>
      </c>
      <c r="E36" s="1" t="s">
        <v>30</v>
      </c>
      <c r="F36" s="1" t="s">
        <v>1237</v>
      </c>
      <c r="G36" s="1" t="s">
        <v>18</v>
      </c>
      <c r="H36" s="1">
        <v>4</v>
      </c>
      <c r="I36" s="1">
        <f>Table1[[#This Row],[Units_Sold]]*Table1[[#This Row],[Unit_Price]]</f>
        <v>157.84</v>
      </c>
      <c r="J36" s="1">
        <v>39.46</v>
      </c>
      <c r="K36" s="1">
        <v>0</v>
      </c>
      <c r="L36" s="1">
        <v>157.84</v>
      </c>
      <c r="M36" s="1">
        <v>46.87</v>
      </c>
      <c r="N36" s="1">
        <v>21</v>
      </c>
      <c r="O36" s="1" t="s">
        <v>26</v>
      </c>
      <c r="P36" s="1" t="s">
        <v>81</v>
      </c>
    </row>
    <row r="37" spans="1:16" x14ac:dyDescent="0.3">
      <c r="A37" s="1">
        <v>100596</v>
      </c>
      <c r="B37" s="2">
        <v>45561</v>
      </c>
      <c r="C37" s="1" t="s">
        <v>85</v>
      </c>
      <c r="D37" s="1" t="s">
        <v>45</v>
      </c>
      <c r="E37" s="1" t="s">
        <v>30</v>
      </c>
      <c r="F37" s="1" t="s">
        <v>1241</v>
      </c>
      <c r="G37" s="1" t="s">
        <v>18</v>
      </c>
      <c r="H37" s="1">
        <v>1</v>
      </c>
      <c r="I37" s="1">
        <f>Table1[[#This Row],[Units_Sold]]*Table1[[#This Row],[Unit_Price]]</f>
        <v>13.56</v>
      </c>
      <c r="J37" s="1">
        <v>13.56</v>
      </c>
      <c r="K37" s="1">
        <v>0</v>
      </c>
      <c r="L37" s="1">
        <v>13.56</v>
      </c>
      <c r="M37" s="1">
        <v>5.32</v>
      </c>
      <c r="N37" s="1">
        <v>34</v>
      </c>
      <c r="O37" s="1" t="s">
        <v>26</v>
      </c>
      <c r="P37" s="1" t="s">
        <v>43</v>
      </c>
    </row>
    <row r="38" spans="1:16" x14ac:dyDescent="0.3">
      <c r="A38" s="1">
        <v>100427</v>
      </c>
      <c r="B38" s="2">
        <v>45043</v>
      </c>
      <c r="C38" s="1" t="s">
        <v>86</v>
      </c>
      <c r="D38" s="1" t="s">
        <v>87</v>
      </c>
      <c r="E38" s="1" t="s">
        <v>25</v>
      </c>
      <c r="F38" s="1" t="s">
        <v>1241</v>
      </c>
      <c r="G38" s="1" t="s">
        <v>18</v>
      </c>
      <c r="H38" s="1">
        <v>2</v>
      </c>
      <c r="I38" s="1">
        <f>Table1[[#This Row],[Units_Sold]]*Table1[[#This Row],[Unit_Price]]</f>
        <v>174.34</v>
      </c>
      <c r="J38" s="1">
        <v>87.17</v>
      </c>
      <c r="K38" s="1">
        <v>0</v>
      </c>
      <c r="L38" s="1">
        <v>174.34</v>
      </c>
      <c r="M38" s="1">
        <v>55.33</v>
      </c>
      <c r="N38" s="1">
        <v>26</v>
      </c>
      <c r="O38" s="1" t="s">
        <v>19</v>
      </c>
      <c r="P38" s="1" t="s">
        <v>20</v>
      </c>
    </row>
    <row r="39" spans="1:16" x14ac:dyDescent="0.3">
      <c r="A39" s="1">
        <v>100070</v>
      </c>
      <c r="B39" s="2">
        <v>45144</v>
      </c>
      <c r="C39" s="1" t="s">
        <v>88</v>
      </c>
      <c r="D39" s="1" t="s">
        <v>59</v>
      </c>
      <c r="E39" s="1" t="s">
        <v>17</v>
      </c>
      <c r="F39" s="1" t="s">
        <v>1238</v>
      </c>
      <c r="G39" s="1" t="s">
        <v>48</v>
      </c>
      <c r="H39" s="1">
        <v>4</v>
      </c>
      <c r="I39" s="1">
        <f>Table1[[#This Row],[Units_Sold]]*Table1[[#This Row],[Unit_Price]]</f>
        <v>124.56</v>
      </c>
      <c r="J39" s="1">
        <v>31.14</v>
      </c>
      <c r="K39" s="1">
        <v>0</v>
      </c>
      <c r="L39" s="1">
        <v>124.56</v>
      </c>
      <c r="M39" s="1">
        <v>35.28</v>
      </c>
      <c r="N39" s="1">
        <v>39</v>
      </c>
      <c r="O39" s="1" t="s">
        <v>19</v>
      </c>
      <c r="P39" s="1" t="s">
        <v>20</v>
      </c>
    </row>
    <row r="40" spans="1:16" x14ac:dyDescent="0.3">
      <c r="A40" s="1">
        <v>100321</v>
      </c>
      <c r="B40" s="2">
        <v>45924</v>
      </c>
      <c r="C40" s="1" t="s">
        <v>89</v>
      </c>
      <c r="D40" s="1" t="s">
        <v>68</v>
      </c>
      <c r="E40" s="1" t="s">
        <v>25</v>
      </c>
      <c r="F40" s="1" t="s">
        <v>1238</v>
      </c>
      <c r="G40" s="1" t="s">
        <v>31</v>
      </c>
      <c r="H40" s="1">
        <v>4</v>
      </c>
      <c r="I40" s="1">
        <f>Table1[[#This Row],[Units_Sold]]*Table1[[#This Row],[Unit_Price]]</f>
        <v>934.72</v>
      </c>
      <c r="J40" s="1">
        <v>233.68</v>
      </c>
      <c r="K40" s="1">
        <v>0</v>
      </c>
      <c r="L40" s="1">
        <v>934.72</v>
      </c>
      <c r="M40" s="1">
        <v>328.49</v>
      </c>
      <c r="N40" s="1">
        <v>19</v>
      </c>
      <c r="O40" s="1" t="s">
        <v>19</v>
      </c>
      <c r="P40" s="1" t="s">
        <v>27</v>
      </c>
    </row>
    <row r="41" spans="1:16" x14ac:dyDescent="0.3">
      <c r="A41" s="1">
        <v>100652</v>
      </c>
      <c r="B41" s="2">
        <v>45203</v>
      </c>
      <c r="C41" s="1" t="s">
        <v>90</v>
      </c>
      <c r="D41" s="1" t="s">
        <v>22</v>
      </c>
      <c r="E41" s="1" t="s">
        <v>17</v>
      </c>
      <c r="F41" s="1" t="s">
        <v>1241</v>
      </c>
      <c r="G41" s="1" t="s">
        <v>31</v>
      </c>
      <c r="H41" s="1">
        <v>3</v>
      </c>
      <c r="I41" s="1">
        <f>Table1[[#This Row],[Units_Sold]]*Table1[[#This Row],[Unit_Price]]</f>
        <v>81.929999999999993</v>
      </c>
      <c r="J41" s="1">
        <v>27.31</v>
      </c>
      <c r="K41" s="1">
        <v>0</v>
      </c>
      <c r="L41" s="1">
        <v>81.93</v>
      </c>
      <c r="M41" s="1">
        <v>29.76</v>
      </c>
      <c r="N41" s="1">
        <v>30</v>
      </c>
      <c r="O41" s="1" t="s">
        <v>26</v>
      </c>
      <c r="P41" s="1" t="s">
        <v>51</v>
      </c>
    </row>
    <row r="42" spans="1:16" x14ac:dyDescent="0.3">
      <c r="A42" s="1">
        <v>101065</v>
      </c>
      <c r="B42" s="2">
        <v>45757</v>
      </c>
      <c r="C42" s="1" t="s">
        <v>91</v>
      </c>
      <c r="D42" s="1" t="s">
        <v>24</v>
      </c>
      <c r="E42" s="1" t="s">
        <v>25</v>
      </c>
      <c r="F42" s="1" t="s">
        <v>1239</v>
      </c>
      <c r="G42" s="1" t="s">
        <v>64</v>
      </c>
      <c r="H42" s="1">
        <v>7</v>
      </c>
      <c r="I42" s="1">
        <f>Table1[[#This Row],[Units_Sold]]*Table1[[#This Row],[Unit_Price]]</f>
        <v>666.61</v>
      </c>
      <c r="J42" s="1">
        <v>95.23</v>
      </c>
      <c r="K42" s="1">
        <v>0</v>
      </c>
      <c r="L42" s="1">
        <v>666.61</v>
      </c>
      <c r="M42" s="1">
        <v>186.65</v>
      </c>
      <c r="N42" s="1">
        <v>24</v>
      </c>
      <c r="O42" s="1" t="s">
        <v>19</v>
      </c>
      <c r="P42" s="1" t="s">
        <v>35</v>
      </c>
    </row>
    <row r="43" spans="1:16" x14ac:dyDescent="0.3">
      <c r="A43" s="1">
        <v>100107</v>
      </c>
      <c r="B43" s="2">
        <v>45036</v>
      </c>
      <c r="C43" s="1" t="s">
        <v>92</v>
      </c>
      <c r="D43" s="1" t="s">
        <v>37</v>
      </c>
      <c r="E43" s="1" t="s">
        <v>17</v>
      </c>
      <c r="F43" s="1" t="s">
        <v>1238</v>
      </c>
      <c r="G43" s="1" t="s">
        <v>18</v>
      </c>
      <c r="H43" s="1">
        <v>2</v>
      </c>
      <c r="I43" s="1">
        <f>Table1[[#This Row],[Units_Sold]]*Table1[[#This Row],[Unit_Price]]</f>
        <v>141</v>
      </c>
      <c r="J43" s="1">
        <v>70.5</v>
      </c>
      <c r="K43" s="1">
        <v>5</v>
      </c>
      <c r="L43" s="1">
        <v>133.94999999999999</v>
      </c>
      <c r="M43" s="1">
        <v>41.43</v>
      </c>
      <c r="N43" s="1">
        <v>42</v>
      </c>
      <c r="O43" s="1" t="s">
        <v>19</v>
      </c>
      <c r="P43" s="1" t="s">
        <v>81</v>
      </c>
    </row>
    <row r="44" spans="1:16" x14ac:dyDescent="0.3">
      <c r="A44" s="1">
        <v>101108</v>
      </c>
      <c r="B44" s="2">
        <v>45287</v>
      </c>
      <c r="C44" s="1" t="s">
        <v>93</v>
      </c>
      <c r="D44" s="1" t="s">
        <v>59</v>
      </c>
      <c r="E44" s="1" t="s">
        <v>17</v>
      </c>
      <c r="F44" s="1" t="s">
        <v>1238</v>
      </c>
      <c r="G44" s="1" t="s">
        <v>64</v>
      </c>
      <c r="H44" s="1">
        <v>5</v>
      </c>
      <c r="I44" s="1">
        <f>Table1[[#This Row],[Units_Sold]]*Table1[[#This Row],[Unit_Price]]</f>
        <v>170.04999999999998</v>
      </c>
      <c r="J44" s="1">
        <v>34.01</v>
      </c>
      <c r="K44" s="1">
        <v>0</v>
      </c>
      <c r="L44" s="1">
        <v>170.05</v>
      </c>
      <c r="M44" s="1">
        <v>38.42</v>
      </c>
      <c r="N44" s="1">
        <v>16</v>
      </c>
      <c r="O44" s="1" t="s">
        <v>26</v>
      </c>
      <c r="P44" s="1" t="s">
        <v>35</v>
      </c>
    </row>
    <row r="45" spans="1:16" x14ac:dyDescent="0.3">
      <c r="A45" s="1">
        <v>100355</v>
      </c>
      <c r="B45" s="2">
        <v>45910</v>
      </c>
      <c r="C45" s="1" t="s">
        <v>94</v>
      </c>
      <c r="D45" s="1" t="s">
        <v>24</v>
      </c>
      <c r="E45" s="1" t="s">
        <v>25</v>
      </c>
      <c r="F45" s="1" t="s">
        <v>1240</v>
      </c>
      <c r="G45" s="1" t="s">
        <v>18</v>
      </c>
      <c r="H45" s="1">
        <v>2</v>
      </c>
      <c r="I45" s="1">
        <f>Table1[[#This Row],[Units_Sold]]*Table1[[#This Row],[Unit_Price]]</f>
        <v>194.26</v>
      </c>
      <c r="J45" s="1">
        <v>97.13</v>
      </c>
      <c r="K45" s="1">
        <v>5</v>
      </c>
      <c r="L45" s="1">
        <v>184.55</v>
      </c>
      <c r="M45" s="1">
        <v>50.99</v>
      </c>
      <c r="N45" s="1">
        <v>29</v>
      </c>
      <c r="O45" s="1" t="s">
        <v>26</v>
      </c>
      <c r="P45" s="1" t="s">
        <v>20</v>
      </c>
    </row>
    <row r="46" spans="1:16" x14ac:dyDescent="0.3">
      <c r="A46" s="1">
        <v>100950</v>
      </c>
      <c r="B46" s="2">
        <v>45517</v>
      </c>
      <c r="C46" s="1" t="s">
        <v>95</v>
      </c>
      <c r="D46" s="1" t="s">
        <v>29</v>
      </c>
      <c r="E46" s="1" t="s">
        <v>30</v>
      </c>
      <c r="F46" s="1" t="s">
        <v>1241</v>
      </c>
      <c r="G46" s="1" t="s">
        <v>48</v>
      </c>
      <c r="H46" s="1">
        <v>7</v>
      </c>
      <c r="I46" s="1">
        <f>Table1[[#This Row],[Units_Sold]]*Table1[[#This Row],[Unit_Price]]</f>
        <v>118.23</v>
      </c>
      <c r="J46" s="1">
        <v>16.89</v>
      </c>
      <c r="K46" s="1">
        <v>0</v>
      </c>
      <c r="L46" s="1">
        <v>118.23</v>
      </c>
      <c r="M46" s="1">
        <v>46.38</v>
      </c>
      <c r="N46" s="1">
        <v>22</v>
      </c>
      <c r="O46" s="1" t="s">
        <v>26</v>
      </c>
      <c r="P46" s="1" t="s">
        <v>43</v>
      </c>
    </row>
    <row r="47" spans="1:16" x14ac:dyDescent="0.3">
      <c r="A47" s="1">
        <v>100342</v>
      </c>
      <c r="B47" s="2">
        <v>44939</v>
      </c>
      <c r="C47" s="1" t="s">
        <v>96</v>
      </c>
      <c r="D47" s="1" t="s">
        <v>70</v>
      </c>
      <c r="E47" s="1" t="s">
        <v>25</v>
      </c>
      <c r="F47" s="1" t="s">
        <v>1240</v>
      </c>
      <c r="G47" s="1" t="s">
        <v>18</v>
      </c>
      <c r="H47" s="1">
        <v>4</v>
      </c>
      <c r="I47" s="1">
        <f>Table1[[#This Row],[Units_Sold]]*Table1[[#This Row],[Unit_Price]]</f>
        <v>513.44000000000005</v>
      </c>
      <c r="J47" s="1">
        <v>128.36000000000001</v>
      </c>
      <c r="K47" s="1">
        <v>0</v>
      </c>
      <c r="L47" s="1">
        <v>513.44000000000005</v>
      </c>
      <c r="M47" s="1">
        <v>113.36</v>
      </c>
      <c r="N47" s="1">
        <v>26</v>
      </c>
      <c r="O47" s="1" t="s">
        <v>19</v>
      </c>
      <c r="P47" s="1" t="s">
        <v>43</v>
      </c>
    </row>
    <row r="48" spans="1:16" x14ac:dyDescent="0.3">
      <c r="A48" s="1">
        <v>100354</v>
      </c>
      <c r="B48" s="2">
        <v>45661</v>
      </c>
      <c r="C48" s="1" t="s">
        <v>97</v>
      </c>
      <c r="D48" s="1" t="s">
        <v>42</v>
      </c>
      <c r="E48" s="1" t="s">
        <v>25</v>
      </c>
      <c r="F48" s="1" t="s">
        <v>1239</v>
      </c>
      <c r="G48" s="1" t="s">
        <v>18</v>
      </c>
      <c r="H48" s="1">
        <v>2</v>
      </c>
      <c r="I48" s="1">
        <f>Table1[[#This Row],[Units_Sold]]*Table1[[#This Row],[Unit_Price]]</f>
        <v>344.7</v>
      </c>
      <c r="J48" s="1">
        <v>172.35</v>
      </c>
      <c r="K48" s="1">
        <v>0</v>
      </c>
      <c r="L48" s="1">
        <v>344.7</v>
      </c>
      <c r="M48" s="1">
        <v>131.25</v>
      </c>
      <c r="N48" s="1">
        <v>29</v>
      </c>
      <c r="O48" s="1" t="s">
        <v>26</v>
      </c>
      <c r="P48" s="1" t="s">
        <v>35</v>
      </c>
    </row>
    <row r="49" spans="1:16" x14ac:dyDescent="0.3">
      <c r="A49" s="1">
        <v>100023</v>
      </c>
      <c r="B49" s="2">
        <v>45212</v>
      </c>
      <c r="C49" s="1" t="s">
        <v>98</v>
      </c>
      <c r="D49" s="1" t="s">
        <v>29</v>
      </c>
      <c r="E49" s="1" t="s">
        <v>30</v>
      </c>
      <c r="F49" s="1" t="s">
        <v>1239</v>
      </c>
      <c r="G49" s="1" t="s">
        <v>18</v>
      </c>
      <c r="H49" s="1">
        <v>3</v>
      </c>
      <c r="I49" s="1">
        <f>Table1[[#This Row],[Units_Sold]]*Table1[[#This Row],[Unit_Price]]</f>
        <v>57.239999999999995</v>
      </c>
      <c r="J49" s="1">
        <v>19.079999999999998</v>
      </c>
      <c r="K49" s="1">
        <v>20</v>
      </c>
      <c r="L49" s="1">
        <v>45.79</v>
      </c>
      <c r="M49" s="1">
        <v>19.61</v>
      </c>
      <c r="N49" s="1">
        <v>41</v>
      </c>
      <c r="O49" s="1" t="s">
        <v>19</v>
      </c>
      <c r="P49" s="1" t="s">
        <v>27</v>
      </c>
    </row>
    <row r="50" spans="1:16" x14ac:dyDescent="0.3">
      <c r="A50" s="1">
        <v>100043</v>
      </c>
      <c r="B50" s="2">
        <v>45373</v>
      </c>
      <c r="C50" s="1" t="s">
        <v>99</v>
      </c>
      <c r="D50" s="1" t="s">
        <v>100</v>
      </c>
      <c r="E50" s="1" t="s">
        <v>25</v>
      </c>
      <c r="F50" s="1" t="s">
        <v>1241</v>
      </c>
      <c r="G50" s="1" t="s">
        <v>48</v>
      </c>
      <c r="H50" s="1">
        <v>5</v>
      </c>
      <c r="I50" s="1">
        <f>Table1[[#This Row],[Units_Sold]]*Table1[[#This Row],[Unit_Price]]</f>
        <v>616.1</v>
      </c>
      <c r="J50" s="1">
        <v>123.22</v>
      </c>
      <c r="K50" s="1">
        <v>0</v>
      </c>
      <c r="L50" s="1">
        <v>616.1</v>
      </c>
      <c r="M50" s="1">
        <v>217.11</v>
      </c>
      <c r="N50" s="1">
        <v>24</v>
      </c>
      <c r="O50" s="1" t="s">
        <v>26</v>
      </c>
      <c r="P50" s="1" t="s">
        <v>81</v>
      </c>
    </row>
    <row r="51" spans="1:16" x14ac:dyDescent="0.3">
      <c r="A51" s="1">
        <v>100243</v>
      </c>
      <c r="B51" s="2">
        <v>45922</v>
      </c>
      <c r="C51" s="1" t="s">
        <v>101</v>
      </c>
      <c r="D51" s="1" t="s">
        <v>59</v>
      </c>
      <c r="E51" s="1" t="s">
        <v>17</v>
      </c>
      <c r="F51" s="1" t="s">
        <v>1237</v>
      </c>
      <c r="G51" s="1" t="s">
        <v>31</v>
      </c>
      <c r="H51" s="1">
        <v>4</v>
      </c>
      <c r="I51" s="1">
        <f>Table1[[#This Row],[Units_Sold]]*Table1[[#This Row],[Unit_Price]]</f>
        <v>123.48</v>
      </c>
      <c r="J51" s="1">
        <v>30.87</v>
      </c>
      <c r="K51" s="1">
        <v>0</v>
      </c>
      <c r="L51" s="1">
        <v>123.48</v>
      </c>
      <c r="M51" s="1">
        <v>26.64</v>
      </c>
      <c r="N51" s="1">
        <v>22</v>
      </c>
      <c r="O51" s="1" t="s">
        <v>26</v>
      </c>
      <c r="P51" s="1" t="s">
        <v>32</v>
      </c>
    </row>
    <row r="52" spans="1:16" x14ac:dyDescent="0.3">
      <c r="A52" s="1">
        <v>100737</v>
      </c>
      <c r="B52" s="2">
        <v>45648</v>
      </c>
      <c r="C52" s="1" t="s">
        <v>102</v>
      </c>
      <c r="D52" s="1" t="s">
        <v>16</v>
      </c>
      <c r="E52" s="1" t="s">
        <v>17</v>
      </c>
      <c r="F52" s="1" t="s">
        <v>1241</v>
      </c>
      <c r="G52" s="1" t="s">
        <v>18</v>
      </c>
      <c r="H52" s="1">
        <v>2</v>
      </c>
      <c r="I52" s="1">
        <f>Table1[[#This Row],[Units_Sold]]*Table1[[#This Row],[Unit_Price]]</f>
        <v>113.76</v>
      </c>
      <c r="J52" s="1">
        <v>56.88</v>
      </c>
      <c r="K52" s="1">
        <v>0</v>
      </c>
      <c r="L52" s="1">
        <v>113.76</v>
      </c>
      <c r="M52" s="1">
        <v>35.369999999999997</v>
      </c>
      <c r="N52" s="1">
        <v>23</v>
      </c>
      <c r="O52" s="1" t="s">
        <v>26</v>
      </c>
      <c r="P52" s="1" t="s">
        <v>20</v>
      </c>
    </row>
    <row r="53" spans="1:16" x14ac:dyDescent="0.3">
      <c r="A53" s="1">
        <v>101135</v>
      </c>
      <c r="B53" s="2">
        <v>45502</v>
      </c>
      <c r="C53" s="1" t="s">
        <v>103</v>
      </c>
      <c r="D53" s="1" t="s">
        <v>24</v>
      </c>
      <c r="E53" s="1" t="s">
        <v>25</v>
      </c>
      <c r="F53" s="1" t="s">
        <v>1237</v>
      </c>
      <c r="G53" s="1" t="s">
        <v>31</v>
      </c>
      <c r="H53" s="1">
        <v>2</v>
      </c>
      <c r="I53" s="1">
        <f>Table1[[#This Row],[Units_Sold]]*Table1[[#This Row],[Unit_Price]]</f>
        <v>199.18</v>
      </c>
      <c r="J53" s="1">
        <v>99.59</v>
      </c>
      <c r="K53" s="1">
        <v>5</v>
      </c>
      <c r="L53" s="1">
        <v>189.22</v>
      </c>
      <c r="M53" s="1">
        <v>63.97</v>
      </c>
      <c r="N53" s="1">
        <v>36</v>
      </c>
      <c r="O53" s="1" t="s">
        <v>26</v>
      </c>
      <c r="P53" s="1" t="s">
        <v>20</v>
      </c>
    </row>
    <row r="54" spans="1:16" x14ac:dyDescent="0.3">
      <c r="A54" s="1">
        <v>100367</v>
      </c>
      <c r="B54" s="2">
        <v>45016</v>
      </c>
      <c r="C54" s="1" t="s">
        <v>104</v>
      </c>
      <c r="D54" s="1" t="s">
        <v>16</v>
      </c>
      <c r="E54" s="1" t="s">
        <v>17</v>
      </c>
      <c r="F54" s="1" t="s">
        <v>1237</v>
      </c>
      <c r="G54" s="1" t="s">
        <v>31</v>
      </c>
      <c r="H54" s="1">
        <v>4</v>
      </c>
      <c r="I54" s="1">
        <f>Table1[[#This Row],[Units_Sold]]*Table1[[#This Row],[Unit_Price]]</f>
        <v>219.48</v>
      </c>
      <c r="J54" s="1">
        <v>54.87</v>
      </c>
      <c r="K54" s="1">
        <v>0</v>
      </c>
      <c r="L54" s="1">
        <v>219.48</v>
      </c>
      <c r="M54" s="1">
        <v>49.53</v>
      </c>
      <c r="N54" s="1">
        <v>24</v>
      </c>
      <c r="O54" s="1" t="s">
        <v>26</v>
      </c>
      <c r="P54" s="1" t="s">
        <v>51</v>
      </c>
    </row>
    <row r="55" spans="1:16" x14ac:dyDescent="0.3">
      <c r="A55" s="1">
        <v>100163</v>
      </c>
      <c r="B55" s="2">
        <v>45583</v>
      </c>
      <c r="C55" s="1" t="s">
        <v>105</v>
      </c>
      <c r="D55" s="1" t="s">
        <v>53</v>
      </c>
      <c r="E55" s="1" t="s">
        <v>30</v>
      </c>
      <c r="F55" s="1" t="s">
        <v>1237</v>
      </c>
      <c r="G55" s="1" t="s">
        <v>18</v>
      </c>
      <c r="H55" s="1">
        <v>1</v>
      </c>
      <c r="I55" s="1">
        <f>Table1[[#This Row],[Units_Sold]]*Table1[[#This Row],[Unit_Price]]</f>
        <v>23.03</v>
      </c>
      <c r="J55" s="1">
        <v>23.03</v>
      </c>
      <c r="K55" s="1">
        <v>0</v>
      </c>
      <c r="L55" s="1">
        <v>23.03</v>
      </c>
      <c r="M55" s="1">
        <v>8.06</v>
      </c>
      <c r="N55" s="1">
        <v>32</v>
      </c>
      <c r="O55" s="1" t="s">
        <v>19</v>
      </c>
      <c r="P55" s="1" t="s">
        <v>27</v>
      </c>
    </row>
    <row r="56" spans="1:16" x14ac:dyDescent="0.3">
      <c r="A56" s="1">
        <v>101115</v>
      </c>
      <c r="B56" s="2">
        <v>45909</v>
      </c>
      <c r="C56" s="1" t="s">
        <v>106</v>
      </c>
      <c r="D56" s="1" t="s">
        <v>77</v>
      </c>
      <c r="E56" s="1" t="s">
        <v>30</v>
      </c>
      <c r="F56" s="1" t="s">
        <v>1241</v>
      </c>
      <c r="G56" s="1" t="s">
        <v>64</v>
      </c>
      <c r="H56" s="1">
        <v>5</v>
      </c>
      <c r="I56" s="1">
        <f>Table1[[#This Row],[Units_Sold]]*Table1[[#This Row],[Unit_Price]]</f>
        <v>193.55</v>
      </c>
      <c r="J56" s="1">
        <v>38.71</v>
      </c>
      <c r="K56" s="1">
        <v>0</v>
      </c>
      <c r="L56" s="1">
        <v>193.55</v>
      </c>
      <c r="M56" s="1">
        <v>41.29</v>
      </c>
      <c r="N56" s="1">
        <v>18</v>
      </c>
      <c r="O56" s="1" t="s">
        <v>26</v>
      </c>
      <c r="P56" s="1" t="s">
        <v>32</v>
      </c>
    </row>
    <row r="57" spans="1:16" x14ac:dyDescent="0.3">
      <c r="A57" s="1">
        <v>100332</v>
      </c>
      <c r="B57" s="2">
        <v>45881</v>
      </c>
      <c r="C57" s="1" t="s">
        <v>107</v>
      </c>
      <c r="D57" s="1" t="s">
        <v>34</v>
      </c>
      <c r="E57" s="1" t="s">
        <v>30</v>
      </c>
      <c r="F57" s="1" t="s">
        <v>1238</v>
      </c>
      <c r="G57" s="1" t="s">
        <v>31</v>
      </c>
      <c r="H57" s="1">
        <v>3</v>
      </c>
      <c r="I57" s="1">
        <f>Table1[[#This Row],[Units_Sold]]*Table1[[#This Row],[Unit_Price]]</f>
        <v>182.73</v>
      </c>
      <c r="J57" s="1">
        <v>60.91</v>
      </c>
      <c r="K57" s="1">
        <v>10</v>
      </c>
      <c r="L57" s="1">
        <v>164.46</v>
      </c>
      <c r="M57" s="1">
        <v>65.8</v>
      </c>
      <c r="N57" s="1">
        <v>41</v>
      </c>
      <c r="O57" s="1" t="s">
        <v>19</v>
      </c>
      <c r="P57" s="1" t="s">
        <v>81</v>
      </c>
    </row>
    <row r="58" spans="1:16" x14ac:dyDescent="0.3">
      <c r="A58" s="1">
        <v>100988</v>
      </c>
      <c r="B58" s="2">
        <v>45804</v>
      </c>
      <c r="C58" s="1" t="s">
        <v>108</v>
      </c>
      <c r="D58" s="1" t="s">
        <v>53</v>
      </c>
      <c r="E58" s="1" t="s">
        <v>30</v>
      </c>
      <c r="F58" s="1" t="s">
        <v>1241</v>
      </c>
      <c r="G58" s="1" t="s">
        <v>48</v>
      </c>
      <c r="H58" s="1">
        <v>2</v>
      </c>
      <c r="I58" s="1">
        <f>Table1[[#This Row],[Units_Sold]]*Table1[[#This Row],[Unit_Price]]</f>
        <v>38.82</v>
      </c>
      <c r="J58" s="1">
        <v>19.41</v>
      </c>
      <c r="K58" s="1">
        <v>0</v>
      </c>
      <c r="L58" s="1">
        <v>38.82</v>
      </c>
      <c r="M58" s="1">
        <v>9.3800000000000008</v>
      </c>
      <c r="N58" s="1">
        <v>24</v>
      </c>
      <c r="O58" s="1" t="s">
        <v>19</v>
      </c>
      <c r="P58" s="1" t="s">
        <v>35</v>
      </c>
    </row>
    <row r="59" spans="1:16" x14ac:dyDescent="0.3">
      <c r="A59" s="1">
        <v>101172</v>
      </c>
      <c r="B59" s="2">
        <v>45903</v>
      </c>
      <c r="C59" s="1" t="s">
        <v>109</v>
      </c>
      <c r="D59" s="1" t="s">
        <v>24</v>
      </c>
      <c r="E59" s="1" t="s">
        <v>25</v>
      </c>
      <c r="F59" s="1" t="s">
        <v>1241</v>
      </c>
      <c r="G59" s="1" t="s">
        <v>31</v>
      </c>
      <c r="H59" s="1">
        <v>2</v>
      </c>
      <c r="I59" s="1">
        <f>Table1[[#This Row],[Units_Sold]]*Table1[[#This Row],[Unit_Price]]</f>
        <v>164.24</v>
      </c>
      <c r="J59" s="1">
        <v>82.12</v>
      </c>
      <c r="K59" s="1">
        <v>0</v>
      </c>
      <c r="L59" s="1">
        <v>164.24</v>
      </c>
      <c r="M59" s="1">
        <v>57.54</v>
      </c>
      <c r="N59" s="1">
        <v>51</v>
      </c>
      <c r="O59" s="1" t="s">
        <v>26</v>
      </c>
      <c r="P59" s="1" t="s">
        <v>27</v>
      </c>
    </row>
    <row r="60" spans="1:16" x14ac:dyDescent="0.3">
      <c r="A60" s="1">
        <v>101001</v>
      </c>
      <c r="B60" s="2">
        <v>45595</v>
      </c>
      <c r="C60" s="1" t="s">
        <v>110</v>
      </c>
      <c r="D60" s="1" t="s">
        <v>42</v>
      </c>
      <c r="E60" s="1" t="s">
        <v>25</v>
      </c>
      <c r="F60" s="1" t="s">
        <v>1241</v>
      </c>
      <c r="G60" s="1" t="s">
        <v>31</v>
      </c>
      <c r="H60" s="1">
        <v>3</v>
      </c>
      <c r="I60" s="1">
        <f>Table1[[#This Row],[Units_Sold]]*Table1[[#This Row],[Unit_Price]]</f>
        <v>395.46</v>
      </c>
      <c r="J60" s="1">
        <v>131.82</v>
      </c>
      <c r="K60" s="1">
        <v>10</v>
      </c>
      <c r="L60" s="1">
        <v>355.91</v>
      </c>
      <c r="M60" s="1">
        <v>114.03</v>
      </c>
      <c r="N60" s="1">
        <v>32</v>
      </c>
      <c r="O60" s="1" t="s">
        <v>26</v>
      </c>
      <c r="P60" s="1" t="s">
        <v>27</v>
      </c>
    </row>
    <row r="61" spans="1:16" x14ac:dyDescent="0.3">
      <c r="A61" s="1">
        <v>100377</v>
      </c>
      <c r="B61" s="2">
        <v>45815</v>
      </c>
      <c r="C61" s="1" t="s">
        <v>111</v>
      </c>
      <c r="D61" s="1" t="s">
        <v>45</v>
      </c>
      <c r="E61" s="1" t="s">
        <v>30</v>
      </c>
      <c r="F61" s="1" t="s">
        <v>1239</v>
      </c>
      <c r="G61" s="1" t="s">
        <v>18</v>
      </c>
      <c r="H61" s="1">
        <v>2</v>
      </c>
      <c r="I61" s="1">
        <f>Table1[[#This Row],[Units_Sold]]*Table1[[#This Row],[Unit_Price]]</f>
        <v>30</v>
      </c>
      <c r="J61" s="1">
        <v>15</v>
      </c>
      <c r="K61" s="1">
        <v>0</v>
      </c>
      <c r="L61" s="1">
        <v>30</v>
      </c>
      <c r="M61" s="1">
        <v>9.56</v>
      </c>
      <c r="N61" s="1">
        <v>24</v>
      </c>
      <c r="O61" s="1" t="s">
        <v>19</v>
      </c>
      <c r="P61" s="1" t="s">
        <v>46</v>
      </c>
    </row>
    <row r="62" spans="1:16" x14ac:dyDescent="0.3">
      <c r="A62" s="1">
        <v>100309</v>
      </c>
      <c r="B62" s="2">
        <v>45607</v>
      </c>
      <c r="C62" s="1" t="s">
        <v>112</v>
      </c>
      <c r="D62" s="1" t="s">
        <v>42</v>
      </c>
      <c r="E62" s="1" t="s">
        <v>25</v>
      </c>
      <c r="F62" s="1" t="s">
        <v>1237</v>
      </c>
      <c r="G62" s="1" t="s">
        <v>31</v>
      </c>
      <c r="H62" s="1">
        <v>4</v>
      </c>
      <c r="I62" s="1">
        <f>Table1[[#This Row],[Units_Sold]]*Table1[[#This Row],[Unit_Price]]</f>
        <v>605.79999999999995</v>
      </c>
      <c r="J62" s="1">
        <v>151.44999999999999</v>
      </c>
      <c r="K62" s="1">
        <v>10</v>
      </c>
      <c r="L62" s="1">
        <v>545.22</v>
      </c>
      <c r="M62" s="1">
        <v>165.42</v>
      </c>
      <c r="N62" s="1">
        <v>36</v>
      </c>
      <c r="O62" s="1" t="s">
        <v>19</v>
      </c>
      <c r="P62" s="1" t="s">
        <v>32</v>
      </c>
    </row>
    <row r="63" spans="1:16" x14ac:dyDescent="0.3">
      <c r="A63" s="1">
        <v>100155</v>
      </c>
      <c r="B63" s="2">
        <v>45523</v>
      </c>
      <c r="C63" s="1" t="s">
        <v>113</v>
      </c>
      <c r="D63" s="1" t="s">
        <v>68</v>
      </c>
      <c r="E63" s="1" t="s">
        <v>25</v>
      </c>
      <c r="F63" s="1" t="s">
        <v>1238</v>
      </c>
      <c r="G63" s="1" t="s">
        <v>31</v>
      </c>
      <c r="H63" s="1">
        <v>2</v>
      </c>
      <c r="I63" s="1">
        <f>Table1[[#This Row],[Units_Sold]]*Table1[[#This Row],[Unit_Price]]</f>
        <v>421.6</v>
      </c>
      <c r="J63" s="1">
        <v>210.8</v>
      </c>
      <c r="K63" s="1">
        <v>0</v>
      </c>
      <c r="L63" s="1">
        <v>421.6</v>
      </c>
      <c r="M63" s="1">
        <v>98.14</v>
      </c>
      <c r="N63" s="1">
        <v>22</v>
      </c>
      <c r="O63" s="1" t="s">
        <v>19</v>
      </c>
      <c r="P63" s="1" t="s">
        <v>35</v>
      </c>
    </row>
    <row r="64" spans="1:16" x14ac:dyDescent="0.3">
      <c r="A64" s="1">
        <v>100210</v>
      </c>
      <c r="B64" s="2">
        <v>45122</v>
      </c>
      <c r="C64" s="1" t="s">
        <v>114</v>
      </c>
      <c r="D64" s="1" t="s">
        <v>39</v>
      </c>
      <c r="E64" s="1" t="s">
        <v>25</v>
      </c>
      <c r="F64" s="1" t="s">
        <v>1238</v>
      </c>
      <c r="G64" s="1" t="s">
        <v>18</v>
      </c>
      <c r="H64" s="1">
        <v>3</v>
      </c>
      <c r="I64" s="1">
        <f>Table1[[#This Row],[Units_Sold]]*Table1[[#This Row],[Unit_Price]]</f>
        <v>499.47</v>
      </c>
      <c r="J64" s="1">
        <v>166.49</v>
      </c>
      <c r="K64" s="1">
        <v>5</v>
      </c>
      <c r="L64" s="1">
        <v>474.5</v>
      </c>
      <c r="M64" s="1">
        <v>157.63999999999999</v>
      </c>
      <c r="N64" s="1">
        <v>25</v>
      </c>
      <c r="O64" s="1" t="s">
        <v>26</v>
      </c>
      <c r="P64" s="1" t="s">
        <v>46</v>
      </c>
    </row>
    <row r="65" spans="1:16" x14ac:dyDescent="0.3">
      <c r="A65" s="1">
        <v>100086</v>
      </c>
      <c r="B65" s="2">
        <v>44953</v>
      </c>
      <c r="C65" s="1" t="s">
        <v>115</v>
      </c>
      <c r="D65" s="1" t="s">
        <v>24</v>
      </c>
      <c r="E65" s="1" t="s">
        <v>25</v>
      </c>
      <c r="F65" s="1" t="s">
        <v>1237</v>
      </c>
      <c r="G65" s="1" t="s">
        <v>48</v>
      </c>
      <c r="H65" s="1">
        <v>4</v>
      </c>
      <c r="I65" s="1">
        <f>Table1[[#This Row],[Units_Sold]]*Table1[[#This Row],[Unit_Price]]</f>
        <v>364.36</v>
      </c>
      <c r="J65" s="1">
        <v>91.09</v>
      </c>
      <c r="K65" s="1">
        <v>20</v>
      </c>
      <c r="L65" s="1">
        <v>291.49</v>
      </c>
      <c r="M65" s="1">
        <v>72.010000000000005</v>
      </c>
      <c r="N65" s="1">
        <v>25</v>
      </c>
      <c r="O65" s="1" t="s">
        <v>19</v>
      </c>
      <c r="P65" s="1" t="s">
        <v>81</v>
      </c>
    </row>
    <row r="66" spans="1:16" x14ac:dyDescent="0.3">
      <c r="A66" s="1">
        <v>100168</v>
      </c>
      <c r="B66" s="2">
        <v>45189</v>
      </c>
      <c r="C66" s="1" t="s">
        <v>116</v>
      </c>
      <c r="D66" s="1" t="s">
        <v>73</v>
      </c>
      <c r="E66" s="1" t="s">
        <v>25</v>
      </c>
      <c r="F66" s="1" t="s">
        <v>1238</v>
      </c>
      <c r="G66" s="1" t="s">
        <v>31</v>
      </c>
      <c r="H66" s="1">
        <v>3</v>
      </c>
      <c r="I66" s="1">
        <f>Table1[[#This Row],[Units_Sold]]*Table1[[#This Row],[Unit_Price]]</f>
        <v>113.97</v>
      </c>
      <c r="J66" s="1">
        <v>37.99</v>
      </c>
      <c r="K66" s="1">
        <v>0</v>
      </c>
      <c r="L66" s="1">
        <v>113.97</v>
      </c>
      <c r="M66" s="1">
        <v>40.85</v>
      </c>
      <c r="N66" s="1">
        <v>27</v>
      </c>
      <c r="O66" s="1" t="s">
        <v>26</v>
      </c>
      <c r="P66" s="1" t="s">
        <v>27</v>
      </c>
    </row>
    <row r="67" spans="1:16" x14ac:dyDescent="0.3">
      <c r="A67" s="1">
        <v>100994</v>
      </c>
      <c r="B67" s="2">
        <v>45534</v>
      </c>
      <c r="C67" s="1" t="s">
        <v>117</v>
      </c>
      <c r="D67" s="1" t="s">
        <v>34</v>
      </c>
      <c r="E67" s="1" t="s">
        <v>30</v>
      </c>
      <c r="F67" s="1" t="s">
        <v>1237</v>
      </c>
      <c r="G67" s="1" t="s">
        <v>18</v>
      </c>
      <c r="H67" s="1">
        <v>2</v>
      </c>
      <c r="I67" s="1">
        <f>Table1[[#This Row],[Units_Sold]]*Table1[[#This Row],[Unit_Price]]</f>
        <v>112.28</v>
      </c>
      <c r="J67" s="1">
        <v>56.14</v>
      </c>
      <c r="K67" s="1">
        <v>0</v>
      </c>
      <c r="L67" s="1">
        <v>112.28</v>
      </c>
      <c r="M67" s="1">
        <v>38.53</v>
      </c>
      <c r="N67" s="1">
        <v>17</v>
      </c>
      <c r="O67" s="1" t="s">
        <v>26</v>
      </c>
      <c r="P67" s="1" t="s">
        <v>51</v>
      </c>
    </row>
    <row r="68" spans="1:16" x14ac:dyDescent="0.3">
      <c r="A68" s="1">
        <v>100051</v>
      </c>
      <c r="B68" s="2">
        <v>45598</v>
      </c>
      <c r="C68" s="1" t="s">
        <v>118</v>
      </c>
      <c r="D68" s="1" t="s">
        <v>39</v>
      </c>
      <c r="E68" s="1" t="s">
        <v>25</v>
      </c>
      <c r="F68" s="1" t="s">
        <v>1239</v>
      </c>
      <c r="G68" s="1" t="s">
        <v>48</v>
      </c>
      <c r="H68" s="1">
        <v>2</v>
      </c>
      <c r="I68" s="1">
        <f>Table1[[#This Row],[Units_Sold]]*Table1[[#This Row],[Unit_Price]]</f>
        <v>386.2</v>
      </c>
      <c r="J68" s="1">
        <v>193.1</v>
      </c>
      <c r="K68" s="1">
        <v>0</v>
      </c>
      <c r="L68" s="1">
        <v>386.2</v>
      </c>
      <c r="M68" s="1">
        <v>111.95</v>
      </c>
      <c r="N68" s="1">
        <v>30</v>
      </c>
      <c r="O68" s="1" t="s">
        <v>19</v>
      </c>
      <c r="P68" s="1" t="s">
        <v>51</v>
      </c>
    </row>
    <row r="69" spans="1:16" x14ac:dyDescent="0.3">
      <c r="A69" s="1">
        <v>100438</v>
      </c>
      <c r="B69" s="2">
        <v>45695</v>
      </c>
      <c r="C69" s="1" t="s">
        <v>119</v>
      </c>
      <c r="D69" s="1" t="s">
        <v>42</v>
      </c>
      <c r="E69" s="1" t="s">
        <v>25</v>
      </c>
      <c r="F69" s="1" t="s">
        <v>1237</v>
      </c>
      <c r="G69" s="1" t="s">
        <v>18</v>
      </c>
      <c r="H69" s="1">
        <v>2</v>
      </c>
      <c r="I69" s="1">
        <f>Table1[[#This Row],[Units_Sold]]*Table1[[#This Row],[Unit_Price]]</f>
        <v>337.8</v>
      </c>
      <c r="J69" s="1">
        <v>168.9</v>
      </c>
      <c r="K69" s="1">
        <v>0</v>
      </c>
      <c r="L69" s="1">
        <v>337.8</v>
      </c>
      <c r="M69" s="1">
        <v>115.68</v>
      </c>
      <c r="N69" s="1">
        <v>17</v>
      </c>
      <c r="O69" s="1" t="s">
        <v>26</v>
      </c>
      <c r="P69" s="1" t="s">
        <v>20</v>
      </c>
    </row>
    <row r="70" spans="1:16" x14ac:dyDescent="0.3">
      <c r="A70" s="1">
        <v>100549</v>
      </c>
      <c r="B70" s="2">
        <v>45910</v>
      </c>
      <c r="C70" s="1" t="s">
        <v>120</v>
      </c>
      <c r="D70" s="1" t="s">
        <v>56</v>
      </c>
      <c r="E70" s="1" t="s">
        <v>30</v>
      </c>
      <c r="F70" s="1" t="s">
        <v>1237</v>
      </c>
      <c r="G70" s="1" t="s">
        <v>31</v>
      </c>
      <c r="H70" s="1">
        <v>4</v>
      </c>
      <c r="I70" s="1">
        <f>Table1[[#This Row],[Units_Sold]]*Table1[[#This Row],[Unit_Price]]</f>
        <v>174.36</v>
      </c>
      <c r="J70" s="1">
        <v>43.59</v>
      </c>
      <c r="K70" s="1">
        <v>10</v>
      </c>
      <c r="L70" s="1">
        <v>156.91999999999999</v>
      </c>
      <c r="M70" s="1">
        <v>58.82</v>
      </c>
      <c r="N70" s="1">
        <v>28</v>
      </c>
      <c r="O70" s="1" t="s">
        <v>26</v>
      </c>
      <c r="P70" s="1" t="s">
        <v>51</v>
      </c>
    </row>
    <row r="71" spans="1:16" x14ac:dyDescent="0.3">
      <c r="A71" s="1">
        <v>100490</v>
      </c>
      <c r="B71" s="2">
        <v>45154</v>
      </c>
      <c r="C71" s="1" t="s">
        <v>121</v>
      </c>
      <c r="D71" s="1" t="s">
        <v>59</v>
      </c>
      <c r="E71" s="1" t="s">
        <v>17</v>
      </c>
      <c r="F71" s="1" t="s">
        <v>1241</v>
      </c>
      <c r="G71" s="1" t="s">
        <v>18</v>
      </c>
      <c r="H71" s="1">
        <v>4</v>
      </c>
      <c r="I71" s="1">
        <f>Table1[[#This Row],[Units_Sold]]*Table1[[#This Row],[Unit_Price]]</f>
        <v>118.08</v>
      </c>
      <c r="J71" s="1">
        <v>29.52</v>
      </c>
      <c r="K71" s="1">
        <v>10</v>
      </c>
      <c r="L71" s="1">
        <v>106.27</v>
      </c>
      <c r="M71" s="1">
        <v>29.71</v>
      </c>
      <c r="N71" s="1">
        <v>33</v>
      </c>
      <c r="O71" s="1" t="s">
        <v>122</v>
      </c>
      <c r="P71" s="1" t="s">
        <v>20</v>
      </c>
    </row>
    <row r="72" spans="1:16" x14ac:dyDescent="0.3">
      <c r="A72" s="1">
        <v>100425</v>
      </c>
      <c r="B72" s="2">
        <v>45772</v>
      </c>
      <c r="C72" s="1" t="s">
        <v>123</v>
      </c>
      <c r="D72" s="1" t="s">
        <v>24</v>
      </c>
      <c r="E72" s="1" t="s">
        <v>25</v>
      </c>
      <c r="F72" s="1" t="s">
        <v>1240</v>
      </c>
      <c r="G72" s="1" t="s">
        <v>31</v>
      </c>
      <c r="H72" s="1">
        <v>2</v>
      </c>
      <c r="I72" s="1">
        <f>Table1[[#This Row],[Units_Sold]]*Table1[[#This Row],[Unit_Price]]</f>
        <v>183.6</v>
      </c>
      <c r="J72" s="1">
        <v>91.8</v>
      </c>
      <c r="K72" s="1">
        <v>0</v>
      </c>
      <c r="L72" s="1">
        <v>183.6</v>
      </c>
      <c r="M72" s="1">
        <v>31.17</v>
      </c>
      <c r="N72" s="1">
        <v>31</v>
      </c>
      <c r="O72" s="1" t="s">
        <v>19</v>
      </c>
      <c r="P72" s="1" t="s">
        <v>51</v>
      </c>
    </row>
    <row r="73" spans="1:16" x14ac:dyDescent="0.3">
      <c r="A73" s="1">
        <v>100135</v>
      </c>
      <c r="B73" s="2">
        <v>45111</v>
      </c>
      <c r="C73" s="1" t="s">
        <v>124</v>
      </c>
      <c r="D73" s="1" t="s">
        <v>22</v>
      </c>
      <c r="E73" s="1" t="s">
        <v>17</v>
      </c>
      <c r="F73" s="1" t="s">
        <v>1238</v>
      </c>
      <c r="G73" s="1" t="s">
        <v>18</v>
      </c>
      <c r="H73" s="1">
        <v>2</v>
      </c>
      <c r="I73" s="1">
        <f>Table1[[#This Row],[Units_Sold]]*Table1[[#This Row],[Unit_Price]]</f>
        <v>49.62</v>
      </c>
      <c r="J73" s="1">
        <v>24.81</v>
      </c>
      <c r="K73" s="1">
        <v>0</v>
      </c>
      <c r="L73" s="1">
        <v>49.62</v>
      </c>
      <c r="M73" s="1">
        <v>13.78</v>
      </c>
      <c r="N73" s="1">
        <v>38</v>
      </c>
      <c r="O73" s="1" t="s">
        <v>26</v>
      </c>
      <c r="P73" s="1" t="s">
        <v>35</v>
      </c>
    </row>
    <row r="74" spans="1:16" x14ac:dyDescent="0.3">
      <c r="A74" s="1">
        <v>101191</v>
      </c>
      <c r="B74" s="2">
        <v>45212</v>
      </c>
      <c r="C74" s="1" t="s">
        <v>125</v>
      </c>
      <c r="D74" s="1" t="s">
        <v>16</v>
      </c>
      <c r="E74" s="1" t="s">
        <v>17</v>
      </c>
      <c r="F74" s="1" t="s">
        <v>1241</v>
      </c>
      <c r="G74" s="1" t="s">
        <v>48</v>
      </c>
      <c r="H74" s="1">
        <v>5</v>
      </c>
      <c r="I74" s="1">
        <f>Table1[[#This Row],[Units_Sold]]*Table1[[#This Row],[Unit_Price]]</f>
        <v>271.35000000000002</v>
      </c>
      <c r="J74" s="1">
        <v>54.27</v>
      </c>
      <c r="K74" s="1">
        <v>0</v>
      </c>
      <c r="L74" s="1">
        <v>271.35000000000002</v>
      </c>
      <c r="M74" s="1">
        <v>74.099999999999994</v>
      </c>
      <c r="N74" s="1">
        <v>17</v>
      </c>
      <c r="O74" s="1" t="s">
        <v>26</v>
      </c>
      <c r="P74" s="1" t="s">
        <v>46</v>
      </c>
    </row>
    <row r="75" spans="1:16" x14ac:dyDescent="0.3">
      <c r="A75" s="1">
        <v>100054</v>
      </c>
      <c r="B75" s="2">
        <v>45568</v>
      </c>
      <c r="C75" s="1" t="s">
        <v>126</v>
      </c>
      <c r="D75" s="1" t="s">
        <v>37</v>
      </c>
      <c r="E75" s="1" t="s">
        <v>17</v>
      </c>
      <c r="F75" s="1" t="s">
        <v>1241</v>
      </c>
      <c r="G75" s="1" t="s">
        <v>18</v>
      </c>
      <c r="H75" s="1">
        <v>1</v>
      </c>
      <c r="I75" s="1">
        <f>Table1[[#This Row],[Units_Sold]]*Table1[[#This Row],[Unit_Price]]</f>
        <v>74.959999999999994</v>
      </c>
      <c r="J75" s="1">
        <v>74.959999999999994</v>
      </c>
      <c r="K75" s="1">
        <v>40</v>
      </c>
      <c r="L75" s="1">
        <v>44.98</v>
      </c>
      <c r="M75" s="1">
        <v>11.34</v>
      </c>
      <c r="N75" s="1">
        <v>25</v>
      </c>
      <c r="O75" s="1" t="s">
        <v>26</v>
      </c>
      <c r="P75" s="1" t="s">
        <v>43</v>
      </c>
    </row>
    <row r="76" spans="1:16" x14ac:dyDescent="0.3">
      <c r="A76" s="1">
        <v>100078</v>
      </c>
      <c r="B76" s="2">
        <v>45337</v>
      </c>
      <c r="C76" s="1" t="s">
        <v>127</v>
      </c>
      <c r="D76" s="1" t="s">
        <v>53</v>
      </c>
      <c r="E76" s="1" t="s">
        <v>30</v>
      </c>
      <c r="F76" s="1" t="s">
        <v>1237</v>
      </c>
      <c r="G76" s="1" t="s">
        <v>18</v>
      </c>
      <c r="H76" s="1">
        <v>4</v>
      </c>
      <c r="I76" s="1">
        <f>Table1[[#This Row],[Units_Sold]]*Table1[[#This Row],[Unit_Price]]</f>
        <v>98.68</v>
      </c>
      <c r="J76" s="1">
        <v>24.67</v>
      </c>
      <c r="K76" s="1">
        <v>10</v>
      </c>
      <c r="L76" s="1">
        <v>88.81</v>
      </c>
      <c r="M76" s="1">
        <v>31.25</v>
      </c>
      <c r="N76" s="1">
        <v>19</v>
      </c>
      <c r="O76" s="1" t="s">
        <v>26</v>
      </c>
      <c r="P76" s="1" t="s">
        <v>20</v>
      </c>
    </row>
    <row r="77" spans="1:16" x14ac:dyDescent="0.3">
      <c r="A77" s="1">
        <v>100430</v>
      </c>
      <c r="B77" s="2">
        <v>45702</v>
      </c>
      <c r="C77" s="1" t="s">
        <v>128</v>
      </c>
      <c r="D77" s="1" t="s">
        <v>34</v>
      </c>
      <c r="E77" s="1" t="s">
        <v>30</v>
      </c>
      <c r="F77" s="1" t="s">
        <v>1237</v>
      </c>
      <c r="G77" s="1" t="s">
        <v>31</v>
      </c>
      <c r="H77" s="1">
        <v>2</v>
      </c>
      <c r="I77" s="1">
        <f>Table1[[#This Row],[Units_Sold]]*Table1[[#This Row],[Unit_Price]]</f>
        <v>126.4</v>
      </c>
      <c r="J77" s="1">
        <v>63.2</v>
      </c>
      <c r="K77" s="1">
        <v>10</v>
      </c>
      <c r="L77" s="1">
        <v>113.76</v>
      </c>
      <c r="M77" s="1">
        <v>41.22</v>
      </c>
      <c r="N77" s="1">
        <v>39</v>
      </c>
      <c r="O77" s="1" t="s">
        <v>26</v>
      </c>
      <c r="P77" s="1" t="s">
        <v>46</v>
      </c>
    </row>
    <row r="78" spans="1:16" x14ac:dyDescent="0.3">
      <c r="A78" s="1">
        <v>100184</v>
      </c>
      <c r="B78" s="2">
        <v>45182</v>
      </c>
      <c r="C78" s="1" t="s">
        <v>129</v>
      </c>
      <c r="D78" s="1" t="s">
        <v>87</v>
      </c>
      <c r="E78" s="1" t="s">
        <v>25</v>
      </c>
      <c r="F78" s="1" t="s">
        <v>1241</v>
      </c>
      <c r="G78" s="1" t="s">
        <v>31</v>
      </c>
      <c r="H78" s="1">
        <v>2</v>
      </c>
      <c r="I78" s="1">
        <f>Table1[[#This Row],[Units_Sold]]*Table1[[#This Row],[Unit_Price]]</f>
        <v>151.52000000000001</v>
      </c>
      <c r="J78" s="1">
        <v>75.760000000000005</v>
      </c>
      <c r="K78" s="1">
        <v>10</v>
      </c>
      <c r="L78" s="1">
        <v>136.37</v>
      </c>
      <c r="M78" s="1">
        <v>38.76</v>
      </c>
      <c r="N78" s="1">
        <v>17</v>
      </c>
      <c r="O78" s="1" t="s">
        <v>19</v>
      </c>
      <c r="P78" s="1" t="s">
        <v>27</v>
      </c>
    </row>
    <row r="79" spans="1:16" x14ac:dyDescent="0.3">
      <c r="A79" s="1">
        <v>100056</v>
      </c>
      <c r="B79" s="2">
        <v>45352</v>
      </c>
      <c r="C79" s="1" t="s">
        <v>130</v>
      </c>
      <c r="D79" s="1" t="s">
        <v>70</v>
      </c>
      <c r="E79" s="1" t="s">
        <v>25</v>
      </c>
      <c r="F79" s="1" t="s">
        <v>1238</v>
      </c>
      <c r="G79" s="1" t="s">
        <v>48</v>
      </c>
      <c r="H79" s="1">
        <v>3</v>
      </c>
      <c r="I79" s="1">
        <f>Table1[[#This Row],[Units_Sold]]*Table1[[#This Row],[Unit_Price]]</f>
        <v>463.02</v>
      </c>
      <c r="J79" s="1">
        <v>154.34</v>
      </c>
      <c r="K79" s="1">
        <v>20</v>
      </c>
      <c r="L79" s="1">
        <v>370.42</v>
      </c>
      <c r="M79" s="1">
        <v>121.89</v>
      </c>
      <c r="N79" s="1">
        <v>35</v>
      </c>
      <c r="O79" s="1" t="s">
        <v>19</v>
      </c>
      <c r="P79" s="1" t="s">
        <v>81</v>
      </c>
    </row>
    <row r="80" spans="1:16" x14ac:dyDescent="0.3">
      <c r="A80" s="1">
        <v>100942</v>
      </c>
      <c r="B80" s="2">
        <v>45442</v>
      </c>
      <c r="C80" s="1" t="s">
        <v>131</v>
      </c>
      <c r="D80" s="1" t="s">
        <v>77</v>
      </c>
      <c r="E80" s="1" t="s">
        <v>30</v>
      </c>
      <c r="F80" s="1" t="s">
        <v>1241</v>
      </c>
      <c r="G80" s="1" t="s">
        <v>18</v>
      </c>
      <c r="H80" s="1">
        <v>4</v>
      </c>
      <c r="I80" s="1">
        <f>Table1[[#This Row],[Units_Sold]]*Table1[[#This Row],[Unit_Price]]</f>
        <v>144.16</v>
      </c>
      <c r="J80" s="1">
        <v>36.04</v>
      </c>
      <c r="K80" s="1">
        <v>0</v>
      </c>
      <c r="L80" s="1">
        <v>144.16</v>
      </c>
      <c r="M80" s="1">
        <v>60.23</v>
      </c>
      <c r="N80" s="1">
        <v>35</v>
      </c>
      <c r="O80" s="1" t="s">
        <v>19</v>
      </c>
      <c r="P80" s="1" t="s">
        <v>27</v>
      </c>
    </row>
    <row r="81" spans="1:16" x14ac:dyDescent="0.3">
      <c r="A81" s="1">
        <v>100850</v>
      </c>
      <c r="B81" s="2">
        <v>45848</v>
      </c>
      <c r="C81" s="1" t="s">
        <v>132</v>
      </c>
      <c r="D81" s="1" t="s">
        <v>66</v>
      </c>
      <c r="E81" s="1" t="s">
        <v>17</v>
      </c>
      <c r="F81" s="1" t="s">
        <v>1238</v>
      </c>
      <c r="G81" s="1" t="s">
        <v>31</v>
      </c>
      <c r="H81" s="1">
        <v>2</v>
      </c>
      <c r="I81" s="1">
        <f>Table1[[#This Row],[Units_Sold]]*Table1[[#This Row],[Unit_Price]]</f>
        <v>219.06</v>
      </c>
      <c r="J81" s="1">
        <v>109.53</v>
      </c>
      <c r="K81" s="1">
        <v>0</v>
      </c>
      <c r="L81" s="1">
        <v>219.06</v>
      </c>
      <c r="M81" s="1">
        <v>71.78</v>
      </c>
      <c r="N81" s="1">
        <v>31</v>
      </c>
      <c r="O81" s="1" t="s">
        <v>19</v>
      </c>
      <c r="P81" s="1" t="s">
        <v>35</v>
      </c>
    </row>
    <row r="82" spans="1:16" x14ac:dyDescent="0.3">
      <c r="A82" s="1">
        <v>101163</v>
      </c>
      <c r="B82" s="2">
        <v>45606</v>
      </c>
      <c r="C82" s="1" t="s">
        <v>133</v>
      </c>
      <c r="D82" s="1" t="s">
        <v>53</v>
      </c>
      <c r="E82" s="1" t="s">
        <v>30</v>
      </c>
      <c r="F82" s="1" t="s">
        <v>1238</v>
      </c>
      <c r="G82" s="1" t="s">
        <v>48</v>
      </c>
      <c r="H82" s="1">
        <v>3</v>
      </c>
      <c r="I82" s="1">
        <f>Table1[[#This Row],[Units_Sold]]*Table1[[#This Row],[Unit_Price]]</f>
        <v>71.400000000000006</v>
      </c>
      <c r="J82" s="1">
        <v>23.8</v>
      </c>
      <c r="K82" s="1">
        <v>40</v>
      </c>
      <c r="L82" s="1">
        <v>42.84</v>
      </c>
      <c r="M82" s="1">
        <v>21.01</v>
      </c>
      <c r="N82" s="1">
        <v>44</v>
      </c>
      <c r="O82" s="1" t="s">
        <v>26</v>
      </c>
      <c r="P82" s="1" t="s">
        <v>43</v>
      </c>
    </row>
    <row r="83" spans="1:16" x14ac:dyDescent="0.3">
      <c r="A83" s="1">
        <v>100218</v>
      </c>
      <c r="B83" s="2">
        <v>45029</v>
      </c>
      <c r="C83" s="1" t="s">
        <v>134</v>
      </c>
      <c r="D83" s="1" t="s">
        <v>34</v>
      </c>
      <c r="E83" s="1" t="s">
        <v>30</v>
      </c>
      <c r="F83" s="1" t="s">
        <v>1238</v>
      </c>
      <c r="G83" s="1" t="s">
        <v>31</v>
      </c>
      <c r="H83" s="1">
        <v>2</v>
      </c>
      <c r="I83" s="1">
        <f>Table1[[#This Row],[Units_Sold]]*Table1[[#This Row],[Unit_Price]]</f>
        <v>110.48</v>
      </c>
      <c r="J83" s="1">
        <v>55.24</v>
      </c>
      <c r="K83" s="1">
        <v>5</v>
      </c>
      <c r="L83" s="1">
        <v>104.96</v>
      </c>
      <c r="M83" s="1">
        <v>18.82</v>
      </c>
      <c r="N83" s="1">
        <v>43</v>
      </c>
      <c r="O83" s="1" t="s">
        <v>26</v>
      </c>
      <c r="P83" s="1" t="s">
        <v>35</v>
      </c>
    </row>
    <row r="84" spans="1:16" x14ac:dyDescent="0.3">
      <c r="A84" s="1">
        <v>100844</v>
      </c>
      <c r="B84" s="2">
        <v>45529</v>
      </c>
      <c r="C84" s="1" t="s">
        <v>135</v>
      </c>
      <c r="D84" s="1" t="s">
        <v>45</v>
      </c>
      <c r="E84" s="1" t="s">
        <v>30</v>
      </c>
      <c r="F84" s="1" t="s">
        <v>1238</v>
      </c>
      <c r="G84" s="1" t="s">
        <v>18</v>
      </c>
      <c r="H84" s="1">
        <v>3</v>
      </c>
      <c r="I84" s="1">
        <f>Table1[[#This Row],[Units_Sold]]*Table1[[#This Row],[Unit_Price]]</f>
        <v>46.14</v>
      </c>
      <c r="J84" s="1">
        <v>15.38</v>
      </c>
      <c r="K84" s="1">
        <v>0</v>
      </c>
      <c r="L84" s="1">
        <v>46.14</v>
      </c>
      <c r="M84" s="1">
        <v>14.62</v>
      </c>
      <c r="N84" s="1">
        <v>35</v>
      </c>
      <c r="O84" s="1" t="s">
        <v>26</v>
      </c>
      <c r="P84" s="1" t="s">
        <v>32</v>
      </c>
    </row>
    <row r="85" spans="1:16" x14ac:dyDescent="0.3">
      <c r="A85" s="1">
        <v>100113</v>
      </c>
      <c r="B85" s="2">
        <v>45699</v>
      </c>
      <c r="C85" s="1" t="s">
        <v>136</v>
      </c>
      <c r="D85" s="1" t="s">
        <v>37</v>
      </c>
      <c r="E85" s="1" t="s">
        <v>17</v>
      </c>
      <c r="F85" s="1" t="s">
        <v>1237</v>
      </c>
      <c r="G85" s="1" t="s">
        <v>64</v>
      </c>
      <c r="H85" s="1">
        <v>4</v>
      </c>
      <c r="I85" s="1">
        <f>Table1[[#This Row],[Units_Sold]]*Table1[[#This Row],[Unit_Price]]</f>
        <v>307.95999999999998</v>
      </c>
      <c r="J85" s="1">
        <v>76.989999999999995</v>
      </c>
      <c r="K85" s="1">
        <v>0</v>
      </c>
      <c r="L85" s="1">
        <v>307.95999999999998</v>
      </c>
      <c r="M85" s="1">
        <v>66.06</v>
      </c>
      <c r="N85" s="1">
        <v>23</v>
      </c>
      <c r="O85" s="1" t="s">
        <v>19</v>
      </c>
      <c r="P85" s="1" t="s">
        <v>43</v>
      </c>
    </row>
    <row r="86" spans="1:16" x14ac:dyDescent="0.3">
      <c r="A86" s="1">
        <v>100548</v>
      </c>
      <c r="B86" s="2">
        <v>45740</v>
      </c>
      <c r="C86" s="1" t="s">
        <v>137</v>
      </c>
      <c r="D86" s="1" t="s">
        <v>70</v>
      </c>
      <c r="E86" s="1" t="s">
        <v>25</v>
      </c>
      <c r="F86" s="1" t="s">
        <v>1241</v>
      </c>
      <c r="G86" s="1" t="s">
        <v>18</v>
      </c>
      <c r="H86" s="1">
        <v>1</v>
      </c>
      <c r="I86" s="1">
        <f>Table1[[#This Row],[Units_Sold]]*Table1[[#This Row],[Unit_Price]]</f>
        <v>136.94</v>
      </c>
      <c r="J86" s="1">
        <v>136.94</v>
      </c>
      <c r="K86" s="1">
        <v>0</v>
      </c>
      <c r="L86" s="1">
        <v>136.94</v>
      </c>
      <c r="M86" s="1">
        <v>32.32</v>
      </c>
      <c r="N86" s="1">
        <v>16</v>
      </c>
      <c r="O86" s="1" t="s">
        <v>26</v>
      </c>
      <c r="P86" s="1" t="s">
        <v>20</v>
      </c>
    </row>
    <row r="87" spans="1:16" x14ac:dyDescent="0.3">
      <c r="A87" s="1">
        <v>101018</v>
      </c>
      <c r="B87" s="2">
        <v>45418</v>
      </c>
      <c r="C87" s="1" t="s">
        <v>138</v>
      </c>
      <c r="D87" s="1" t="s">
        <v>53</v>
      </c>
      <c r="E87" s="1" t="s">
        <v>30</v>
      </c>
      <c r="F87" s="1" t="s">
        <v>1240</v>
      </c>
      <c r="G87" s="1" t="s">
        <v>48</v>
      </c>
      <c r="H87" s="1">
        <v>4</v>
      </c>
      <c r="I87" s="1">
        <f>Table1[[#This Row],[Units_Sold]]*Table1[[#This Row],[Unit_Price]]</f>
        <v>90.96</v>
      </c>
      <c r="J87" s="1">
        <v>22.74</v>
      </c>
      <c r="K87" s="1">
        <v>0</v>
      </c>
      <c r="L87" s="1">
        <v>90.96</v>
      </c>
      <c r="M87" s="1">
        <v>32.31</v>
      </c>
      <c r="N87" s="1">
        <v>24</v>
      </c>
      <c r="O87" s="1" t="s">
        <v>19</v>
      </c>
      <c r="P87" s="1" t="s">
        <v>32</v>
      </c>
    </row>
    <row r="88" spans="1:16" x14ac:dyDescent="0.3">
      <c r="A88" s="1">
        <v>101072</v>
      </c>
      <c r="B88" s="2">
        <v>45175</v>
      </c>
      <c r="C88" s="1" t="s">
        <v>139</v>
      </c>
      <c r="D88" s="1" t="s">
        <v>73</v>
      </c>
      <c r="E88" s="1" t="s">
        <v>25</v>
      </c>
      <c r="F88" s="1" t="s">
        <v>1241</v>
      </c>
      <c r="G88" s="1" t="s">
        <v>18</v>
      </c>
      <c r="H88" s="1">
        <v>2</v>
      </c>
      <c r="I88" s="1">
        <f>Table1[[#This Row],[Units_Sold]]*Table1[[#This Row],[Unit_Price]]</f>
        <v>65.7</v>
      </c>
      <c r="J88" s="1">
        <v>32.85</v>
      </c>
      <c r="K88" s="1">
        <v>0</v>
      </c>
      <c r="L88" s="1">
        <v>65.7</v>
      </c>
      <c r="M88" s="1">
        <v>17.73</v>
      </c>
      <c r="N88" s="1">
        <v>26</v>
      </c>
      <c r="O88" s="1" t="s">
        <v>19</v>
      </c>
      <c r="P88" s="1" t="s">
        <v>35</v>
      </c>
    </row>
    <row r="89" spans="1:16" x14ac:dyDescent="0.3">
      <c r="A89" s="1">
        <v>100174</v>
      </c>
      <c r="B89" s="2">
        <v>45573</v>
      </c>
      <c r="C89" s="1" t="s">
        <v>140</v>
      </c>
      <c r="D89" s="1" t="s">
        <v>42</v>
      </c>
      <c r="E89" s="1" t="s">
        <v>25</v>
      </c>
      <c r="F89" s="1" t="s">
        <v>1241</v>
      </c>
      <c r="G89" s="1" t="s">
        <v>31</v>
      </c>
      <c r="H89" s="1">
        <v>3</v>
      </c>
      <c r="I89" s="1">
        <f>Table1[[#This Row],[Units_Sold]]*Table1[[#This Row],[Unit_Price]]</f>
        <v>485.09999999999997</v>
      </c>
      <c r="J89" s="1">
        <v>161.69999999999999</v>
      </c>
      <c r="K89" s="1">
        <v>0</v>
      </c>
      <c r="L89" s="1">
        <v>485.1</v>
      </c>
      <c r="M89" s="1">
        <v>128.55000000000001</v>
      </c>
      <c r="N89" s="1">
        <v>32</v>
      </c>
      <c r="O89" s="1" t="s">
        <v>26</v>
      </c>
      <c r="P89" s="1" t="s">
        <v>20</v>
      </c>
    </row>
    <row r="90" spans="1:16" x14ac:dyDescent="0.3">
      <c r="A90" s="1">
        <v>101022</v>
      </c>
      <c r="B90" s="2">
        <v>45421</v>
      </c>
      <c r="C90" s="1" t="s">
        <v>141</v>
      </c>
      <c r="D90" s="1" t="s">
        <v>16</v>
      </c>
      <c r="E90" s="1" t="s">
        <v>17</v>
      </c>
      <c r="F90" s="1" t="s">
        <v>1241</v>
      </c>
      <c r="G90" s="1" t="s">
        <v>31</v>
      </c>
      <c r="H90" s="1">
        <v>2</v>
      </c>
      <c r="I90" s="1">
        <f>Table1[[#This Row],[Units_Sold]]*Table1[[#This Row],[Unit_Price]]</f>
        <v>118.58</v>
      </c>
      <c r="J90" s="1">
        <v>59.29</v>
      </c>
      <c r="K90" s="1">
        <v>40</v>
      </c>
      <c r="L90" s="1">
        <v>71.150000000000006</v>
      </c>
      <c r="M90" s="1">
        <v>25.9</v>
      </c>
      <c r="N90" s="1">
        <v>21</v>
      </c>
      <c r="O90" s="1" t="s">
        <v>26</v>
      </c>
      <c r="P90" s="1" t="s">
        <v>20</v>
      </c>
    </row>
    <row r="91" spans="1:16" x14ac:dyDescent="0.3">
      <c r="A91" s="1">
        <v>100615</v>
      </c>
      <c r="B91" s="2">
        <v>45397</v>
      </c>
      <c r="C91" s="1" t="s">
        <v>142</v>
      </c>
      <c r="D91" s="1" t="s">
        <v>62</v>
      </c>
      <c r="E91" s="1" t="s">
        <v>17</v>
      </c>
      <c r="F91" s="1" t="s">
        <v>1238</v>
      </c>
      <c r="G91" s="1" t="s">
        <v>18</v>
      </c>
      <c r="H91" s="1">
        <v>3</v>
      </c>
      <c r="I91" s="1">
        <f>Table1[[#This Row],[Units_Sold]]*Table1[[#This Row],[Unit_Price]]</f>
        <v>449.46</v>
      </c>
      <c r="J91" s="1">
        <v>149.82</v>
      </c>
      <c r="K91" s="1">
        <v>0</v>
      </c>
      <c r="L91" s="1">
        <v>449.46</v>
      </c>
      <c r="M91" s="1">
        <v>118.22</v>
      </c>
      <c r="N91" s="1">
        <v>25</v>
      </c>
      <c r="O91" s="1" t="s">
        <v>19</v>
      </c>
      <c r="P91" s="1" t="s">
        <v>27</v>
      </c>
    </row>
    <row r="92" spans="1:16" x14ac:dyDescent="0.3">
      <c r="A92" s="1">
        <v>100513</v>
      </c>
      <c r="B92" s="2">
        <v>45348</v>
      </c>
      <c r="C92" s="1" t="s">
        <v>143</v>
      </c>
      <c r="D92" s="1" t="s">
        <v>87</v>
      </c>
      <c r="E92" s="1" t="s">
        <v>25</v>
      </c>
      <c r="F92" s="1" t="s">
        <v>1237</v>
      </c>
      <c r="G92" s="1" t="s">
        <v>31</v>
      </c>
      <c r="H92" s="1">
        <v>6</v>
      </c>
      <c r="I92" s="1">
        <f>Table1[[#This Row],[Units_Sold]]*Table1[[#This Row],[Unit_Price]]</f>
        <v>564.29999999999995</v>
      </c>
      <c r="J92" s="1">
        <v>94.05</v>
      </c>
      <c r="K92" s="1">
        <v>5</v>
      </c>
      <c r="L92" s="1">
        <v>536.08000000000004</v>
      </c>
      <c r="M92" s="1">
        <v>131.25</v>
      </c>
      <c r="N92" s="1">
        <v>27</v>
      </c>
      <c r="O92" s="1" t="s">
        <v>19</v>
      </c>
      <c r="P92" s="1" t="s">
        <v>35</v>
      </c>
    </row>
    <row r="93" spans="1:16" x14ac:dyDescent="0.3">
      <c r="A93" s="1">
        <v>100461</v>
      </c>
      <c r="B93" s="2">
        <v>45424</v>
      </c>
      <c r="C93" s="1" t="s">
        <v>144</v>
      </c>
      <c r="D93" s="1" t="s">
        <v>29</v>
      </c>
      <c r="E93" s="1" t="s">
        <v>30</v>
      </c>
      <c r="F93" s="1" t="s">
        <v>1237</v>
      </c>
      <c r="G93" s="1" t="s">
        <v>31</v>
      </c>
      <c r="H93" s="1">
        <v>3</v>
      </c>
      <c r="I93" s="1">
        <f>Table1[[#This Row],[Units_Sold]]*Table1[[#This Row],[Unit_Price]]</f>
        <v>56.04</v>
      </c>
      <c r="J93" s="1">
        <v>18.68</v>
      </c>
      <c r="K93" s="1">
        <v>5</v>
      </c>
      <c r="L93" s="1">
        <v>53.24</v>
      </c>
      <c r="M93" s="1">
        <v>22.85</v>
      </c>
      <c r="N93" s="1">
        <v>35</v>
      </c>
      <c r="O93" s="1" t="s">
        <v>26</v>
      </c>
      <c r="P93" s="1" t="s">
        <v>43</v>
      </c>
    </row>
    <row r="94" spans="1:16" x14ac:dyDescent="0.3">
      <c r="A94" s="1">
        <v>100286</v>
      </c>
      <c r="B94" s="2">
        <v>45492</v>
      </c>
      <c r="C94" s="1" t="s">
        <v>145</v>
      </c>
      <c r="D94" s="1" t="s">
        <v>42</v>
      </c>
      <c r="E94" s="1" t="s">
        <v>25</v>
      </c>
      <c r="F94" s="1" t="s">
        <v>1238</v>
      </c>
      <c r="G94" s="1" t="s">
        <v>31</v>
      </c>
      <c r="H94" s="1">
        <v>3</v>
      </c>
      <c r="I94" s="1">
        <f>Table1[[#This Row],[Units_Sold]]*Table1[[#This Row],[Unit_Price]]</f>
        <v>516.39</v>
      </c>
      <c r="J94" s="1">
        <v>172.13</v>
      </c>
      <c r="K94" s="1">
        <v>5</v>
      </c>
      <c r="L94" s="1">
        <v>490.57</v>
      </c>
      <c r="M94" s="1">
        <v>163.9</v>
      </c>
      <c r="N94" s="1">
        <v>24</v>
      </c>
      <c r="O94" s="1" t="s">
        <v>19</v>
      </c>
      <c r="P94" s="1" t="s">
        <v>35</v>
      </c>
    </row>
    <row r="95" spans="1:16" x14ac:dyDescent="0.3">
      <c r="A95" s="1">
        <v>100381</v>
      </c>
      <c r="B95" s="2">
        <v>45202</v>
      </c>
      <c r="C95" s="1" t="s">
        <v>146</v>
      </c>
      <c r="D95" s="1" t="s">
        <v>34</v>
      </c>
      <c r="E95" s="1" t="s">
        <v>30</v>
      </c>
      <c r="F95" s="1" t="s">
        <v>1241</v>
      </c>
      <c r="G95" s="1" t="s">
        <v>18</v>
      </c>
      <c r="H95" s="1">
        <v>4</v>
      </c>
      <c r="I95" s="1">
        <f>Table1[[#This Row],[Units_Sold]]*Table1[[#This Row],[Unit_Price]]</f>
        <v>259.27999999999997</v>
      </c>
      <c r="J95" s="1">
        <v>64.819999999999993</v>
      </c>
      <c r="K95" s="1">
        <v>0</v>
      </c>
      <c r="L95" s="1">
        <v>259.27999999999997</v>
      </c>
      <c r="M95" s="1">
        <v>65.5</v>
      </c>
      <c r="N95" s="1">
        <v>36</v>
      </c>
      <c r="O95" s="1" t="s">
        <v>19</v>
      </c>
      <c r="P95" s="1" t="s">
        <v>32</v>
      </c>
    </row>
    <row r="96" spans="1:16" x14ac:dyDescent="0.3">
      <c r="A96" s="1">
        <v>101007</v>
      </c>
      <c r="B96" s="2">
        <v>45575</v>
      </c>
      <c r="C96" s="1" t="s">
        <v>147</v>
      </c>
      <c r="D96" s="1" t="s">
        <v>73</v>
      </c>
      <c r="E96" s="1" t="s">
        <v>25</v>
      </c>
      <c r="F96" s="1" t="s">
        <v>1237</v>
      </c>
      <c r="G96" s="1" t="s">
        <v>31</v>
      </c>
      <c r="H96" s="1">
        <v>3</v>
      </c>
      <c r="I96" s="1">
        <f>Table1[[#This Row],[Units_Sold]]*Table1[[#This Row],[Unit_Price]]</f>
        <v>109.53</v>
      </c>
      <c r="J96" s="1">
        <v>36.51</v>
      </c>
      <c r="K96" s="1">
        <v>0</v>
      </c>
      <c r="L96" s="1">
        <v>109.53</v>
      </c>
      <c r="M96" s="1">
        <v>37.47</v>
      </c>
      <c r="N96" s="1">
        <v>30</v>
      </c>
      <c r="O96" s="1" t="s">
        <v>26</v>
      </c>
      <c r="P96" s="1" t="s">
        <v>35</v>
      </c>
    </row>
    <row r="97" spans="1:16" x14ac:dyDescent="0.3">
      <c r="A97" s="1">
        <v>100670</v>
      </c>
      <c r="B97" s="2">
        <v>45175</v>
      </c>
      <c r="C97" s="1" t="s">
        <v>148</v>
      </c>
      <c r="D97" s="1" t="s">
        <v>68</v>
      </c>
      <c r="E97" s="1" t="s">
        <v>25</v>
      </c>
      <c r="F97" s="1" t="s">
        <v>1237</v>
      </c>
      <c r="G97" s="1" t="s">
        <v>48</v>
      </c>
      <c r="H97" s="1">
        <v>2</v>
      </c>
      <c r="I97" s="1">
        <f>Table1[[#This Row],[Units_Sold]]*Table1[[#This Row],[Unit_Price]]</f>
        <v>414.7</v>
      </c>
      <c r="J97" s="1">
        <v>207.35</v>
      </c>
      <c r="K97" s="1">
        <v>10</v>
      </c>
      <c r="L97" s="1">
        <v>373.23</v>
      </c>
      <c r="M97" s="1">
        <v>82.8</v>
      </c>
      <c r="N97" s="1">
        <v>40</v>
      </c>
      <c r="O97" s="1" t="s">
        <v>19</v>
      </c>
      <c r="P97" s="1" t="s">
        <v>27</v>
      </c>
    </row>
    <row r="98" spans="1:16" x14ac:dyDescent="0.3">
      <c r="A98" s="1">
        <v>100534</v>
      </c>
      <c r="B98" s="2">
        <v>45460</v>
      </c>
      <c r="C98" s="1" t="s">
        <v>149</v>
      </c>
      <c r="D98" s="1" t="s">
        <v>73</v>
      </c>
      <c r="E98" s="1" t="s">
        <v>25</v>
      </c>
      <c r="F98" s="1" t="s">
        <v>1237</v>
      </c>
      <c r="G98" s="1" t="s">
        <v>18</v>
      </c>
      <c r="H98" s="1">
        <v>3</v>
      </c>
      <c r="I98" s="1">
        <f>Table1[[#This Row],[Units_Sold]]*Table1[[#This Row],[Unit_Price]]</f>
        <v>100.53</v>
      </c>
      <c r="J98" s="1">
        <v>33.51</v>
      </c>
      <c r="K98" s="1">
        <v>5</v>
      </c>
      <c r="L98" s="1">
        <v>95.5</v>
      </c>
      <c r="M98" s="1">
        <v>30.96</v>
      </c>
      <c r="N98" s="1">
        <v>27</v>
      </c>
      <c r="O98" s="1" t="s">
        <v>26</v>
      </c>
      <c r="P98" s="1" t="s">
        <v>81</v>
      </c>
    </row>
    <row r="99" spans="1:16" x14ac:dyDescent="0.3">
      <c r="A99" s="1">
        <v>100909</v>
      </c>
      <c r="B99" s="2">
        <v>45731</v>
      </c>
      <c r="C99" s="1" t="s">
        <v>150</v>
      </c>
      <c r="D99" s="1" t="s">
        <v>22</v>
      </c>
      <c r="E99" s="1" t="s">
        <v>17</v>
      </c>
      <c r="F99" s="1" t="s">
        <v>1241</v>
      </c>
      <c r="G99" s="1" t="s">
        <v>18</v>
      </c>
      <c r="H99" s="1">
        <v>2</v>
      </c>
      <c r="I99" s="1">
        <f>Table1[[#This Row],[Units_Sold]]*Table1[[#This Row],[Unit_Price]]</f>
        <v>51.66</v>
      </c>
      <c r="J99" s="1">
        <v>25.83</v>
      </c>
      <c r="K99" s="1">
        <v>0</v>
      </c>
      <c r="L99" s="1">
        <v>51.66</v>
      </c>
      <c r="M99" s="1">
        <v>11.22</v>
      </c>
      <c r="N99" s="1">
        <v>23</v>
      </c>
      <c r="O99" s="1" t="s">
        <v>26</v>
      </c>
      <c r="P99" s="1" t="s">
        <v>51</v>
      </c>
    </row>
    <row r="100" spans="1:16" x14ac:dyDescent="0.3">
      <c r="A100" s="1">
        <v>100292</v>
      </c>
      <c r="B100" s="2">
        <v>45360</v>
      </c>
      <c r="C100" s="1" t="s">
        <v>151</v>
      </c>
      <c r="D100" s="1" t="s">
        <v>42</v>
      </c>
      <c r="E100" s="1" t="s">
        <v>25</v>
      </c>
      <c r="F100" s="1" t="s">
        <v>1238</v>
      </c>
      <c r="G100" s="1" t="s">
        <v>48</v>
      </c>
      <c r="H100" s="1">
        <v>4</v>
      </c>
      <c r="I100" s="1">
        <f>Table1[[#This Row],[Units_Sold]]*Table1[[#This Row],[Unit_Price]]</f>
        <v>638.6</v>
      </c>
      <c r="J100" s="1">
        <v>159.65</v>
      </c>
      <c r="K100" s="1">
        <v>5</v>
      </c>
      <c r="L100" s="1">
        <v>606.66999999999996</v>
      </c>
      <c r="M100" s="1">
        <v>235.76</v>
      </c>
      <c r="N100" s="1">
        <v>22</v>
      </c>
      <c r="O100" s="1" t="s">
        <v>19</v>
      </c>
      <c r="P100" s="1" t="s">
        <v>35</v>
      </c>
    </row>
    <row r="101" spans="1:16" x14ac:dyDescent="0.3">
      <c r="A101" s="1">
        <v>100123</v>
      </c>
      <c r="B101" s="2">
        <v>45744</v>
      </c>
      <c r="C101" s="1" t="s">
        <v>152</v>
      </c>
      <c r="D101" s="1" t="s">
        <v>42</v>
      </c>
      <c r="E101" s="1" t="s">
        <v>25</v>
      </c>
      <c r="F101" s="1" t="s">
        <v>1239</v>
      </c>
      <c r="G101" s="1" t="s">
        <v>18</v>
      </c>
      <c r="H101" s="1">
        <v>4</v>
      </c>
      <c r="I101" s="1">
        <f>Table1[[#This Row],[Units_Sold]]*Table1[[#This Row],[Unit_Price]]</f>
        <v>637.24</v>
      </c>
      <c r="J101" s="1">
        <v>159.31</v>
      </c>
      <c r="K101" s="1">
        <v>10</v>
      </c>
      <c r="L101" s="1">
        <v>573.52</v>
      </c>
      <c r="M101" s="1">
        <v>164.35</v>
      </c>
      <c r="N101" s="1">
        <v>21</v>
      </c>
      <c r="O101" s="1" t="s">
        <v>26</v>
      </c>
      <c r="P101" s="1" t="s">
        <v>51</v>
      </c>
    </row>
    <row r="102" spans="1:16" x14ac:dyDescent="0.3">
      <c r="A102" s="1">
        <v>100582</v>
      </c>
      <c r="B102" s="2">
        <v>45163</v>
      </c>
      <c r="C102" s="1" t="s">
        <v>153</v>
      </c>
      <c r="D102" s="1" t="s">
        <v>39</v>
      </c>
      <c r="E102" s="1" t="s">
        <v>25</v>
      </c>
      <c r="F102" s="1" t="s">
        <v>1237</v>
      </c>
      <c r="G102" s="1" t="s">
        <v>31</v>
      </c>
      <c r="H102" s="1">
        <v>1</v>
      </c>
      <c r="I102" s="1">
        <f>Table1[[#This Row],[Units_Sold]]*Table1[[#This Row],[Unit_Price]]</f>
        <v>173.04</v>
      </c>
      <c r="J102" s="1">
        <v>173.04</v>
      </c>
      <c r="K102" s="1">
        <v>5</v>
      </c>
      <c r="L102" s="1">
        <v>164.39</v>
      </c>
      <c r="M102" s="1">
        <v>44.29</v>
      </c>
      <c r="N102" s="1">
        <v>27</v>
      </c>
      <c r="O102" s="1" t="s">
        <v>26</v>
      </c>
      <c r="P102" s="1" t="s">
        <v>46</v>
      </c>
    </row>
    <row r="103" spans="1:16" x14ac:dyDescent="0.3">
      <c r="A103" s="1">
        <v>100140</v>
      </c>
      <c r="B103" s="2">
        <v>44934</v>
      </c>
      <c r="C103" s="1" t="s">
        <v>154</v>
      </c>
      <c r="D103" s="1" t="s">
        <v>73</v>
      </c>
      <c r="E103" s="1" t="s">
        <v>25</v>
      </c>
      <c r="F103" s="1" t="s">
        <v>1241</v>
      </c>
      <c r="G103" s="1" t="s">
        <v>18</v>
      </c>
      <c r="H103" s="1">
        <v>1</v>
      </c>
      <c r="I103" s="1">
        <f>Table1[[#This Row],[Units_Sold]]*Table1[[#This Row],[Unit_Price]]</f>
        <v>36.07</v>
      </c>
      <c r="J103" s="1">
        <v>36.07</v>
      </c>
      <c r="K103" s="1">
        <v>5</v>
      </c>
      <c r="L103" s="1">
        <v>34.270000000000003</v>
      </c>
      <c r="M103" s="1">
        <v>6.22</v>
      </c>
      <c r="N103" s="1">
        <v>34</v>
      </c>
      <c r="O103" s="1" t="s">
        <v>26</v>
      </c>
      <c r="P103" s="1" t="s">
        <v>43</v>
      </c>
    </row>
    <row r="104" spans="1:16" x14ac:dyDescent="0.3">
      <c r="A104" s="1">
        <v>100735</v>
      </c>
      <c r="B104" s="2">
        <v>45302</v>
      </c>
      <c r="C104" s="1" t="s">
        <v>155</v>
      </c>
      <c r="D104" s="1" t="s">
        <v>77</v>
      </c>
      <c r="E104" s="1" t="s">
        <v>30</v>
      </c>
      <c r="F104" s="1" t="s">
        <v>1237</v>
      </c>
      <c r="G104" s="1" t="s">
        <v>18</v>
      </c>
      <c r="H104" s="1">
        <v>5</v>
      </c>
      <c r="I104" s="1">
        <f>Table1[[#This Row],[Units_Sold]]*Table1[[#This Row],[Unit_Price]]</f>
        <v>210.55</v>
      </c>
      <c r="J104" s="1">
        <v>42.11</v>
      </c>
      <c r="K104" s="1">
        <v>20</v>
      </c>
      <c r="L104" s="1">
        <v>168.44</v>
      </c>
      <c r="M104" s="1">
        <v>51.47</v>
      </c>
      <c r="N104" s="1">
        <v>23</v>
      </c>
      <c r="O104" s="1" t="s">
        <v>19</v>
      </c>
      <c r="P104" s="1" t="s">
        <v>32</v>
      </c>
    </row>
    <row r="105" spans="1:16" x14ac:dyDescent="0.3">
      <c r="A105" s="1">
        <v>100081</v>
      </c>
      <c r="B105" s="2">
        <v>45197</v>
      </c>
      <c r="C105" s="1" t="s">
        <v>156</v>
      </c>
      <c r="D105" s="1" t="s">
        <v>24</v>
      </c>
      <c r="E105" s="1" t="s">
        <v>25</v>
      </c>
      <c r="F105" s="1" t="s">
        <v>1241</v>
      </c>
      <c r="G105" s="1" t="s">
        <v>18</v>
      </c>
      <c r="H105" s="1">
        <v>3</v>
      </c>
      <c r="I105" s="1">
        <f>Table1[[#This Row],[Units_Sold]]*Table1[[#This Row],[Unit_Price]]</f>
        <v>316.20000000000005</v>
      </c>
      <c r="J105" s="1">
        <v>105.4</v>
      </c>
      <c r="K105" s="1">
        <v>20</v>
      </c>
      <c r="L105" s="1">
        <v>252.96</v>
      </c>
      <c r="M105" s="1">
        <v>54</v>
      </c>
      <c r="N105" s="1">
        <v>41</v>
      </c>
      <c r="O105" s="1" t="s">
        <v>26</v>
      </c>
      <c r="P105" s="1" t="s">
        <v>46</v>
      </c>
    </row>
    <row r="106" spans="1:16" x14ac:dyDescent="0.3">
      <c r="A106" s="1">
        <v>100881</v>
      </c>
      <c r="B106" s="2">
        <v>45369</v>
      </c>
      <c r="C106" s="1" t="s">
        <v>157</v>
      </c>
      <c r="D106" s="1" t="s">
        <v>39</v>
      </c>
      <c r="E106" s="1" t="s">
        <v>25</v>
      </c>
      <c r="F106" s="1" t="s">
        <v>1237</v>
      </c>
      <c r="G106" s="1" t="s">
        <v>18</v>
      </c>
      <c r="H106" s="1">
        <v>4</v>
      </c>
      <c r="I106" s="1">
        <f>Table1[[#This Row],[Units_Sold]]*Table1[[#This Row],[Unit_Price]]</f>
        <v>751.56</v>
      </c>
      <c r="J106" s="1">
        <v>187.89</v>
      </c>
      <c r="K106" s="1">
        <v>0</v>
      </c>
      <c r="L106" s="1">
        <v>751.56</v>
      </c>
      <c r="M106" s="1">
        <v>230.22</v>
      </c>
      <c r="N106" s="1">
        <v>20</v>
      </c>
      <c r="O106" s="1" t="s">
        <v>26</v>
      </c>
      <c r="P106" s="1" t="s">
        <v>27</v>
      </c>
    </row>
    <row r="107" spans="1:16" x14ac:dyDescent="0.3">
      <c r="A107" s="1">
        <v>100739</v>
      </c>
      <c r="B107" s="2">
        <v>45110</v>
      </c>
      <c r="C107" s="1" t="s">
        <v>158</v>
      </c>
      <c r="D107" s="1" t="s">
        <v>39</v>
      </c>
      <c r="E107" s="1" t="s">
        <v>25</v>
      </c>
      <c r="F107" s="1" t="s">
        <v>1238</v>
      </c>
      <c r="G107" s="1" t="s">
        <v>18</v>
      </c>
      <c r="H107" s="1">
        <v>5</v>
      </c>
      <c r="I107" s="1">
        <f>Table1[[#This Row],[Units_Sold]]*Table1[[#This Row],[Unit_Price]]</f>
        <v>882.75</v>
      </c>
      <c r="J107" s="1">
        <v>176.55</v>
      </c>
      <c r="K107" s="1">
        <v>0</v>
      </c>
      <c r="L107" s="1">
        <v>882.75</v>
      </c>
      <c r="M107" s="1">
        <v>279.52999999999997</v>
      </c>
      <c r="N107" s="1">
        <v>31</v>
      </c>
      <c r="O107" s="1" t="s">
        <v>26</v>
      </c>
      <c r="P107" s="1" t="s">
        <v>27</v>
      </c>
    </row>
    <row r="108" spans="1:16" x14ac:dyDescent="0.3">
      <c r="A108" s="1">
        <v>101101</v>
      </c>
      <c r="B108" s="2">
        <v>45612</v>
      </c>
      <c r="C108" s="1" t="s">
        <v>159</v>
      </c>
      <c r="D108" s="1" t="s">
        <v>22</v>
      </c>
      <c r="E108" s="1" t="s">
        <v>17</v>
      </c>
      <c r="F108" s="1" t="s">
        <v>1241</v>
      </c>
      <c r="G108" s="1" t="s">
        <v>48</v>
      </c>
      <c r="H108" s="1">
        <v>1</v>
      </c>
      <c r="I108" s="1">
        <f>Table1[[#This Row],[Units_Sold]]*Table1[[#This Row],[Unit_Price]]</f>
        <v>25.42</v>
      </c>
      <c r="J108" s="1">
        <v>25.42</v>
      </c>
      <c r="K108" s="1">
        <v>20</v>
      </c>
      <c r="L108" s="1">
        <v>20.34</v>
      </c>
      <c r="M108" s="1">
        <v>4.04</v>
      </c>
      <c r="N108" s="1">
        <v>39</v>
      </c>
      <c r="O108" s="1" t="s">
        <v>26</v>
      </c>
      <c r="P108" s="1" t="s">
        <v>20</v>
      </c>
    </row>
    <row r="109" spans="1:16" x14ac:dyDescent="0.3">
      <c r="A109" s="1">
        <v>100908</v>
      </c>
      <c r="B109" s="2">
        <v>45318</v>
      </c>
      <c r="C109" s="1" t="s">
        <v>160</v>
      </c>
      <c r="D109" s="1" t="s">
        <v>39</v>
      </c>
      <c r="E109" s="1" t="s">
        <v>25</v>
      </c>
      <c r="F109" s="1" t="s">
        <v>1241</v>
      </c>
      <c r="G109" s="1" t="s">
        <v>31</v>
      </c>
      <c r="H109" s="1">
        <v>2</v>
      </c>
      <c r="I109" s="1">
        <f>Table1[[#This Row],[Units_Sold]]*Table1[[#This Row],[Unit_Price]]</f>
        <v>363.18</v>
      </c>
      <c r="J109" s="1">
        <v>181.59</v>
      </c>
      <c r="K109" s="1">
        <v>20</v>
      </c>
      <c r="L109" s="1">
        <v>290.54000000000002</v>
      </c>
      <c r="M109" s="1">
        <v>96.12</v>
      </c>
      <c r="N109" s="1">
        <v>24</v>
      </c>
      <c r="O109" s="1" t="s">
        <v>26</v>
      </c>
      <c r="P109" s="1" t="s">
        <v>27</v>
      </c>
    </row>
    <row r="110" spans="1:16" x14ac:dyDescent="0.3">
      <c r="A110" s="1">
        <v>101166</v>
      </c>
      <c r="B110" s="2">
        <v>45581</v>
      </c>
      <c r="C110" s="1" t="s">
        <v>161</v>
      </c>
      <c r="D110" s="1" t="s">
        <v>87</v>
      </c>
      <c r="E110" s="1" t="s">
        <v>25</v>
      </c>
      <c r="F110" s="1" t="s">
        <v>1239</v>
      </c>
      <c r="G110" s="1" t="s">
        <v>31</v>
      </c>
      <c r="H110" s="1">
        <v>2</v>
      </c>
      <c r="I110" s="1">
        <f>Table1[[#This Row],[Units_Sold]]*Table1[[#This Row],[Unit_Price]]</f>
        <v>148.16</v>
      </c>
      <c r="J110" s="1">
        <v>74.08</v>
      </c>
      <c r="K110" s="1">
        <v>0</v>
      </c>
      <c r="L110" s="1">
        <v>148.16</v>
      </c>
      <c r="M110" s="1">
        <v>37.58</v>
      </c>
      <c r="N110" s="1">
        <v>41</v>
      </c>
      <c r="O110" s="1" t="s">
        <v>19</v>
      </c>
      <c r="P110" s="1" t="s">
        <v>46</v>
      </c>
    </row>
    <row r="111" spans="1:16" x14ac:dyDescent="0.3">
      <c r="A111" s="1">
        <v>100936</v>
      </c>
      <c r="B111" s="2">
        <v>45743</v>
      </c>
      <c r="C111" s="1" t="s">
        <v>162</v>
      </c>
      <c r="D111" s="1" t="s">
        <v>42</v>
      </c>
      <c r="E111" s="1" t="s">
        <v>25</v>
      </c>
      <c r="F111" s="1" t="s">
        <v>1241</v>
      </c>
      <c r="G111" s="1" t="s">
        <v>31</v>
      </c>
      <c r="H111" s="1">
        <v>2</v>
      </c>
      <c r="I111" s="1">
        <f>Table1[[#This Row],[Units_Sold]]*Table1[[#This Row],[Unit_Price]]</f>
        <v>340.68</v>
      </c>
      <c r="J111" s="1">
        <v>170.34</v>
      </c>
      <c r="K111" s="1">
        <v>0</v>
      </c>
      <c r="L111" s="1">
        <v>340.68</v>
      </c>
      <c r="M111" s="1">
        <v>87.76</v>
      </c>
      <c r="N111" s="1">
        <v>16</v>
      </c>
      <c r="O111" s="1" t="s">
        <v>19</v>
      </c>
      <c r="P111" s="1" t="s">
        <v>43</v>
      </c>
    </row>
    <row r="112" spans="1:16" x14ac:dyDescent="0.3">
      <c r="A112" s="1">
        <v>100371</v>
      </c>
      <c r="B112" s="2">
        <v>45921</v>
      </c>
      <c r="C112" s="1" t="s">
        <v>163</v>
      </c>
      <c r="D112" s="1" t="s">
        <v>77</v>
      </c>
      <c r="E112" s="1" t="s">
        <v>30</v>
      </c>
      <c r="F112" s="1" t="s">
        <v>1241</v>
      </c>
      <c r="G112" s="1" t="s">
        <v>18</v>
      </c>
      <c r="H112" s="1">
        <v>3</v>
      </c>
      <c r="I112" s="1">
        <f>Table1[[#This Row],[Units_Sold]]*Table1[[#This Row],[Unit_Price]]</f>
        <v>117.69</v>
      </c>
      <c r="J112" s="1">
        <v>39.229999999999997</v>
      </c>
      <c r="K112" s="1">
        <v>20</v>
      </c>
      <c r="L112" s="1">
        <v>94.15</v>
      </c>
      <c r="M112" s="1">
        <v>24.67</v>
      </c>
      <c r="N112" s="1">
        <v>18</v>
      </c>
      <c r="O112" s="1" t="s">
        <v>26</v>
      </c>
      <c r="P112" s="1" t="s">
        <v>46</v>
      </c>
    </row>
    <row r="113" spans="1:16" x14ac:dyDescent="0.3">
      <c r="A113" s="1">
        <v>100889</v>
      </c>
      <c r="B113" s="2">
        <v>45246</v>
      </c>
      <c r="C113" s="1" t="s">
        <v>164</v>
      </c>
      <c r="D113" s="1" t="s">
        <v>77</v>
      </c>
      <c r="E113" s="1" t="s">
        <v>30</v>
      </c>
      <c r="F113" s="1" t="s">
        <v>1240</v>
      </c>
      <c r="G113" s="1" t="s">
        <v>31</v>
      </c>
      <c r="H113" s="1">
        <v>4</v>
      </c>
      <c r="I113" s="1">
        <f>Table1[[#This Row],[Units_Sold]]*Table1[[#This Row],[Unit_Price]]</f>
        <v>163.76</v>
      </c>
      <c r="J113" s="1">
        <v>40.94</v>
      </c>
      <c r="K113" s="1">
        <v>5</v>
      </c>
      <c r="L113" s="1">
        <v>155.57</v>
      </c>
      <c r="M113" s="1">
        <v>37.51</v>
      </c>
      <c r="N113" s="1">
        <v>35</v>
      </c>
      <c r="O113" s="1" t="s">
        <v>26</v>
      </c>
      <c r="P113" s="1" t="s">
        <v>35</v>
      </c>
    </row>
    <row r="114" spans="1:16" x14ac:dyDescent="0.3">
      <c r="A114" s="1">
        <v>100156</v>
      </c>
      <c r="B114" s="2">
        <v>45499</v>
      </c>
      <c r="C114" s="1" t="s">
        <v>165</v>
      </c>
      <c r="D114" s="1" t="s">
        <v>62</v>
      </c>
      <c r="E114" s="1" t="s">
        <v>17</v>
      </c>
      <c r="F114" s="1" t="s">
        <v>1238</v>
      </c>
      <c r="G114" s="1" t="s">
        <v>18</v>
      </c>
      <c r="H114" s="1">
        <v>1</v>
      </c>
      <c r="I114" s="1">
        <f>Table1[[#This Row],[Units_Sold]]*Table1[[#This Row],[Unit_Price]]</f>
        <v>128.75</v>
      </c>
      <c r="J114" s="1">
        <v>128.75</v>
      </c>
      <c r="K114" s="1">
        <v>0</v>
      </c>
      <c r="L114" s="1">
        <v>128.75</v>
      </c>
      <c r="M114" s="1">
        <v>30.12</v>
      </c>
      <c r="N114" s="1">
        <v>16</v>
      </c>
      <c r="O114" s="1" t="s">
        <v>19</v>
      </c>
      <c r="P114" s="1" t="s">
        <v>27</v>
      </c>
    </row>
    <row r="115" spans="1:16" x14ac:dyDescent="0.3">
      <c r="A115" s="1">
        <v>100991</v>
      </c>
      <c r="B115" s="2">
        <v>45597</v>
      </c>
      <c r="C115" s="1" t="s">
        <v>166</v>
      </c>
      <c r="D115" s="1" t="s">
        <v>42</v>
      </c>
      <c r="E115" s="1" t="s">
        <v>25</v>
      </c>
      <c r="F115" s="1" t="s">
        <v>1238</v>
      </c>
      <c r="G115" s="1" t="s">
        <v>31</v>
      </c>
      <c r="H115" s="1">
        <v>5</v>
      </c>
      <c r="I115" s="1">
        <f>Table1[[#This Row],[Units_Sold]]*Table1[[#This Row],[Unit_Price]]</f>
        <v>789.2</v>
      </c>
      <c r="J115" s="1">
        <v>157.84</v>
      </c>
      <c r="K115" s="1">
        <v>0</v>
      </c>
      <c r="L115" s="1">
        <v>789.2</v>
      </c>
      <c r="M115" s="1">
        <v>266.93</v>
      </c>
      <c r="N115" s="1">
        <v>22</v>
      </c>
      <c r="O115" s="1" t="s">
        <v>19</v>
      </c>
      <c r="P115" s="1" t="s">
        <v>51</v>
      </c>
    </row>
    <row r="116" spans="1:16" x14ac:dyDescent="0.3">
      <c r="A116" s="1">
        <v>100621</v>
      </c>
      <c r="B116" s="2">
        <v>45558</v>
      </c>
      <c r="C116" s="1" t="s">
        <v>167</v>
      </c>
      <c r="D116" s="1" t="s">
        <v>59</v>
      </c>
      <c r="E116" s="1" t="s">
        <v>17</v>
      </c>
      <c r="F116" s="1" t="s">
        <v>1237</v>
      </c>
      <c r="G116" s="1" t="s">
        <v>31</v>
      </c>
      <c r="H116" s="1">
        <v>3</v>
      </c>
      <c r="I116" s="1">
        <f>Table1[[#This Row],[Units_Sold]]*Table1[[#This Row],[Unit_Price]]</f>
        <v>106.41</v>
      </c>
      <c r="J116" s="1">
        <v>35.47</v>
      </c>
      <c r="K116" s="1">
        <v>5</v>
      </c>
      <c r="L116" s="1">
        <v>101.09</v>
      </c>
      <c r="M116" s="1">
        <v>28.29</v>
      </c>
      <c r="N116" s="1">
        <v>25</v>
      </c>
      <c r="O116" s="1" t="s">
        <v>19</v>
      </c>
      <c r="P116" s="1" t="s">
        <v>27</v>
      </c>
    </row>
    <row r="117" spans="1:16" x14ac:dyDescent="0.3">
      <c r="A117" s="1">
        <v>101037</v>
      </c>
      <c r="B117" s="2">
        <v>45179</v>
      </c>
      <c r="C117" s="1" t="s">
        <v>168</v>
      </c>
      <c r="D117" s="1" t="s">
        <v>66</v>
      </c>
      <c r="E117" s="1" t="s">
        <v>17</v>
      </c>
      <c r="F117" s="1" t="s">
        <v>1241</v>
      </c>
      <c r="G117" s="1" t="s">
        <v>18</v>
      </c>
      <c r="H117" s="1">
        <v>2</v>
      </c>
      <c r="I117" s="1">
        <f>Table1[[#This Row],[Units_Sold]]*Table1[[#This Row],[Unit_Price]]</f>
        <v>242.28</v>
      </c>
      <c r="J117" s="1">
        <v>121.14</v>
      </c>
      <c r="K117" s="1">
        <v>0</v>
      </c>
      <c r="L117" s="1">
        <v>242.28</v>
      </c>
      <c r="M117" s="1">
        <v>77.25</v>
      </c>
      <c r="N117" s="1">
        <v>16</v>
      </c>
      <c r="O117" s="1" t="s">
        <v>19</v>
      </c>
      <c r="P117" s="1" t="s">
        <v>43</v>
      </c>
    </row>
    <row r="118" spans="1:16" x14ac:dyDescent="0.3">
      <c r="A118" s="1">
        <v>100244</v>
      </c>
      <c r="B118" s="2">
        <v>45234</v>
      </c>
      <c r="C118" s="1" t="s">
        <v>169</v>
      </c>
      <c r="D118" s="1" t="s">
        <v>62</v>
      </c>
      <c r="E118" s="1" t="s">
        <v>17</v>
      </c>
      <c r="F118" s="1" t="s">
        <v>1238</v>
      </c>
      <c r="G118" s="1" t="s">
        <v>18</v>
      </c>
      <c r="H118" s="1">
        <v>4</v>
      </c>
      <c r="I118" s="1">
        <f>Table1[[#This Row],[Units_Sold]]*Table1[[#This Row],[Unit_Price]]</f>
        <v>528.44000000000005</v>
      </c>
      <c r="J118" s="1">
        <v>132.11000000000001</v>
      </c>
      <c r="K118" s="1">
        <v>20</v>
      </c>
      <c r="L118" s="1">
        <v>422.75</v>
      </c>
      <c r="M118" s="1">
        <v>112.31</v>
      </c>
      <c r="N118" s="1">
        <v>47</v>
      </c>
      <c r="O118" s="1" t="s">
        <v>26</v>
      </c>
      <c r="P118" s="1" t="s">
        <v>35</v>
      </c>
    </row>
    <row r="119" spans="1:16" x14ac:dyDescent="0.3">
      <c r="A119" s="1">
        <v>100158</v>
      </c>
      <c r="B119" s="2">
        <v>45085</v>
      </c>
      <c r="C119" s="1" t="s">
        <v>170</v>
      </c>
      <c r="D119" s="1" t="s">
        <v>24</v>
      </c>
      <c r="E119" s="1" t="s">
        <v>25</v>
      </c>
      <c r="F119" s="1" t="s">
        <v>1237</v>
      </c>
      <c r="G119" s="1" t="s">
        <v>31</v>
      </c>
      <c r="H119" s="1">
        <v>3</v>
      </c>
      <c r="I119" s="1">
        <f>Table1[[#This Row],[Units_Sold]]*Table1[[#This Row],[Unit_Price]]</f>
        <v>337.65</v>
      </c>
      <c r="J119" s="1">
        <v>112.55</v>
      </c>
      <c r="K119" s="1">
        <v>5</v>
      </c>
      <c r="L119" s="1">
        <v>320.77</v>
      </c>
      <c r="M119" s="1">
        <v>85.58</v>
      </c>
      <c r="N119" s="1">
        <v>31</v>
      </c>
      <c r="O119" s="1" t="s">
        <v>26</v>
      </c>
      <c r="P119" s="1" t="s">
        <v>81</v>
      </c>
    </row>
    <row r="120" spans="1:16" x14ac:dyDescent="0.3">
      <c r="A120" s="1">
        <v>100745</v>
      </c>
      <c r="B120" s="2">
        <v>45083</v>
      </c>
      <c r="C120" s="1" t="s">
        <v>171</v>
      </c>
      <c r="D120" s="1" t="s">
        <v>16</v>
      </c>
      <c r="E120" s="1" t="s">
        <v>17</v>
      </c>
      <c r="F120" s="1" t="s">
        <v>1241</v>
      </c>
      <c r="G120" s="1" t="s">
        <v>18</v>
      </c>
      <c r="H120" s="1">
        <v>2</v>
      </c>
      <c r="I120" s="1">
        <f>Table1[[#This Row],[Units_Sold]]*Table1[[#This Row],[Unit_Price]]</f>
        <v>103.18</v>
      </c>
      <c r="J120" s="1">
        <v>51.59</v>
      </c>
      <c r="K120" s="1">
        <v>0</v>
      </c>
      <c r="L120" s="1">
        <v>103.18</v>
      </c>
      <c r="M120" s="1">
        <v>16.66</v>
      </c>
      <c r="N120" s="1">
        <v>36</v>
      </c>
      <c r="O120" s="1" t="s">
        <v>19</v>
      </c>
      <c r="P120" s="1" t="s">
        <v>46</v>
      </c>
    </row>
    <row r="121" spans="1:16" x14ac:dyDescent="0.3">
      <c r="A121" s="1">
        <v>100192</v>
      </c>
      <c r="B121" s="2">
        <v>45793</v>
      </c>
      <c r="C121" s="1" t="s">
        <v>172</v>
      </c>
      <c r="D121" s="1" t="s">
        <v>24</v>
      </c>
      <c r="E121" s="1" t="s">
        <v>25</v>
      </c>
      <c r="F121" s="1" t="s">
        <v>1237</v>
      </c>
      <c r="G121" s="1" t="s">
        <v>31</v>
      </c>
      <c r="H121" s="1">
        <v>6</v>
      </c>
      <c r="I121" s="1">
        <f>Table1[[#This Row],[Units_Sold]]*Table1[[#This Row],[Unit_Price]]</f>
        <v>652.62</v>
      </c>
      <c r="J121" s="1">
        <v>108.77</v>
      </c>
      <c r="K121" s="1">
        <v>40</v>
      </c>
      <c r="L121" s="1">
        <v>391.57</v>
      </c>
      <c r="M121" s="1">
        <v>124.48</v>
      </c>
      <c r="N121" s="1">
        <v>30</v>
      </c>
      <c r="O121" s="1" t="s">
        <v>26</v>
      </c>
      <c r="P121" s="1" t="s">
        <v>20</v>
      </c>
    </row>
    <row r="122" spans="1:16" x14ac:dyDescent="0.3">
      <c r="A122" s="1">
        <v>100533</v>
      </c>
      <c r="B122" s="2">
        <v>45924</v>
      </c>
      <c r="C122" s="1" t="s">
        <v>173</v>
      </c>
      <c r="D122" s="1" t="s">
        <v>37</v>
      </c>
      <c r="E122" s="1" t="s">
        <v>17</v>
      </c>
      <c r="F122" s="1" t="s">
        <v>1240</v>
      </c>
      <c r="G122" s="1" t="s">
        <v>18</v>
      </c>
      <c r="H122" s="1">
        <v>3</v>
      </c>
      <c r="I122" s="1">
        <f>Table1[[#This Row],[Units_Sold]]*Table1[[#This Row],[Unit_Price]]</f>
        <v>193.26</v>
      </c>
      <c r="J122" s="1">
        <v>64.42</v>
      </c>
      <c r="K122" s="1">
        <v>5</v>
      </c>
      <c r="L122" s="1">
        <v>183.6</v>
      </c>
      <c r="M122" s="1">
        <v>64.400000000000006</v>
      </c>
      <c r="N122" s="1">
        <v>31</v>
      </c>
      <c r="O122" s="1" t="s">
        <v>122</v>
      </c>
      <c r="P122" s="1" t="s">
        <v>51</v>
      </c>
    </row>
    <row r="123" spans="1:16" x14ac:dyDescent="0.3">
      <c r="A123" s="1">
        <v>100903</v>
      </c>
      <c r="B123" s="2">
        <v>45098</v>
      </c>
      <c r="C123" s="1" t="s">
        <v>174</v>
      </c>
      <c r="D123" s="1" t="s">
        <v>56</v>
      </c>
      <c r="E123" s="1" t="s">
        <v>30</v>
      </c>
      <c r="F123" s="1" t="s">
        <v>1239</v>
      </c>
      <c r="G123" s="1" t="s">
        <v>31</v>
      </c>
      <c r="H123" s="1">
        <v>1</v>
      </c>
      <c r="I123" s="1">
        <f>Table1[[#This Row],[Units_Sold]]*Table1[[#This Row],[Unit_Price]]</f>
        <v>45.52</v>
      </c>
      <c r="J123" s="1">
        <v>45.52</v>
      </c>
      <c r="K123" s="1">
        <v>5</v>
      </c>
      <c r="L123" s="1">
        <v>43.24</v>
      </c>
      <c r="M123" s="1">
        <v>16.05</v>
      </c>
      <c r="N123" s="1">
        <v>34</v>
      </c>
      <c r="O123" s="1" t="s">
        <v>26</v>
      </c>
      <c r="P123" s="1" t="s">
        <v>46</v>
      </c>
    </row>
    <row r="124" spans="1:16" x14ac:dyDescent="0.3">
      <c r="A124" s="1">
        <v>101003</v>
      </c>
      <c r="B124" s="2">
        <v>45601</v>
      </c>
      <c r="C124" s="1" t="s">
        <v>175</v>
      </c>
      <c r="D124" s="1" t="s">
        <v>45</v>
      </c>
      <c r="E124" s="1" t="s">
        <v>30</v>
      </c>
      <c r="F124" s="1" t="s">
        <v>1237</v>
      </c>
      <c r="G124" s="1" t="s">
        <v>31</v>
      </c>
      <c r="H124" s="1">
        <v>3</v>
      </c>
      <c r="I124" s="1">
        <f>Table1[[#This Row],[Units_Sold]]*Table1[[#This Row],[Unit_Price]]</f>
        <v>37.950000000000003</v>
      </c>
      <c r="J124" s="1">
        <v>12.65</v>
      </c>
      <c r="K124" s="1">
        <v>5</v>
      </c>
      <c r="L124" s="1">
        <v>36.049999999999997</v>
      </c>
      <c r="M124" s="1">
        <v>12.05</v>
      </c>
      <c r="N124" s="1">
        <v>22</v>
      </c>
      <c r="O124" s="1" t="s">
        <v>26</v>
      </c>
      <c r="P124" s="1" t="s">
        <v>43</v>
      </c>
    </row>
    <row r="125" spans="1:16" x14ac:dyDescent="0.3">
      <c r="A125" s="1">
        <v>101069</v>
      </c>
      <c r="B125" s="2">
        <v>45472</v>
      </c>
      <c r="C125" s="1" t="s">
        <v>176</v>
      </c>
      <c r="D125" s="1" t="s">
        <v>45</v>
      </c>
      <c r="E125" s="1" t="s">
        <v>30</v>
      </c>
      <c r="F125" s="1" t="s">
        <v>1238</v>
      </c>
      <c r="G125" s="1" t="s">
        <v>31</v>
      </c>
      <c r="H125" s="1">
        <v>1</v>
      </c>
      <c r="I125" s="1">
        <f>Table1[[#This Row],[Units_Sold]]*Table1[[#This Row],[Unit_Price]]</f>
        <v>15.32</v>
      </c>
      <c r="J125" s="1">
        <v>15.32</v>
      </c>
      <c r="K125" s="1">
        <v>0</v>
      </c>
      <c r="L125" s="1">
        <v>15.32</v>
      </c>
      <c r="M125" s="1">
        <v>5.97</v>
      </c>
      <c r="N125" s="1">
        <v>33</v>
      </c>
      <c r="O125" s="1" t="s">
        <v>26</v>
      </c>
      <c r="P125" s="1" t="s">
        <v>51</v>
      </c>
    </row>
    <row r="126" spans="1:16" x14ac:dyDescent="0.3">
      <c r="A126" s="1">
        <v>100413</v>
      </c>
      <c r="B126" s="2">
        <v>45667</v>
      </c>
      <c r="C126" s="1" t="s">
        <v>177</v>
      </c>
      <c r="D126" s="1" t="s">
        <v>87</v>
      </c>
      <c r="E126" s="1" t="s">
        <v>25</v>
      </c>
      <c r="F126" s="1" t="s">
        <v>1237</v>
      </c>
      <c r="G126" s="1" t="s">
        <v>31</v>
      </c>
      <c r="H126" s="1">
        <v>2</v>
      </c>
      <c r="I126" s="1">
        <f>Table1[[#This Row],[Units_Sold]]*Table1[[#This Row],[Unit_Price]]</f>
        <v>174.52</v>
      </c>
      <c r="J126" s="1">
        <v>87.26</v>
      </c>
      <c r="K126" s="1">
        <v>0</v>
      </c>
      <c r="L126" s="1">
        <v>174.52</v>
      </c>
      <c r="M126" s="1">
        <v>46.1</v>
      </c>
      <c r="N126" s="1">
        <v>31</v>
      </c>
      <c r="O126" s="1" t="s">
        <v>19</v>
      </c>
      <c r="P126" s="1" t="s">
        <v>20</v>
      </c>
    </row>
    <row r="127" spans="1:16" x14ac:dyDescent="0.3">
      <c r="A127" s="1">
        <v>101186</v>
      </c>
      <c r="B127" s="2">
        <v>45765</v>
      </c>
      <c r="C127" s="1" t="s">
        <v>178</v>
      </c>
      <c r="D127" s="1" t="s">
        <v>37</v>
      </c>
      <c r="E127" s="1" t="s">
        <v>17</v>
      </c>
      <c r="F127" s="1" t="s">
        <v>1237</v>
      </c>
      <c r="G127" s="1" t="s">
        <v>31</v>
      </c>
      <c r="H127" s="1">
        <v>5</v>
      </c>
      <c r="I127" s="1">
        <f>Table1[[#This Row],[Units_Sold]]*Table1[[#This Row],[Unit_Price]]</f>
        <v>327.10000000000002</v>
      </c>
      <c r="J127" s="1">
        <v>65.42</v>
      </c>
      <c r="K127" s="1">
        <v>20</v>
      </c>
      <c r="L127" s="1">
        <v>261.68</v>
      </c>
      <c r="M127" s="1">
        <v>107.88</v>
      </c>
      <c r="N127" s="1">
        <v>26</v>
      </c>
      <c r="O127" s="1" t="s">
        <v>26</v>
      </c>
      <c r="P127" s="1" t="s">
        <v>20</v>
      </c>
    </row>
    <row r="128" spans="1:16" x14ac:dyDescent="0.3">
      <c r="A128" s="1">
        <v>100327</v>
      </c>
      <c r="B128" s="2">
        <v>45177</v>
      </c>
      <c r="C128" s="1" t="s">
        <v>179</v>
      </c>
      <c r="D128" s="1" t="s">
        <v>70</v>
      </c>
      <c r="E128" s="1" t="s">
        <v>25</v>
      </c>
      <c r="F128" s="1" t="s">
        <v>1238</v>
      </c>
      <c r="G128" s="1" t="s">
        <v>18</v>
      </c>
      <c r="H128" s="1">
        <v>1</v>
      </c>
      <c r="I128" s="1">
        <f>Table1[[#This Row],[Units_Sold]]*Table1[[#This Row],[Unit_Price]]</f>
        <v>172.06</v>
      </c>
      <c r="J128" s="1">
        <v>172.06</v>
      </c>
      <c r="K128" s="1">
        <v>5</v>
      </c>
      <c r="L128" s="1">
        <v>163.46</v>
      </c>
      <c r="M128" s="1">
        <v>33.630000000000003</v>
      </c>
      <c r="N128" s="1">
        <v>27</v>
      </c>
      <c r="O128" s="1" t="s">
        <v>19</v>
      </c>
      <c r="P128" s="1" t="s">
        <v>81</v>
      </c>
    </row>
    <row r="129" spans="1:16" x14ac:dyDescent="0.3">
      <c r="A129" s="1">
        <v>100128</v>
      </c>
      <c r="B129" s="2">
        <v>45391</v>
      </c>
      <c r="C129" s="1" t="s">
        <v>180</v>
      </c>
      <c r="D129" s="1" t="s">
        <v>56</v>
      </c>
      <c r="E129" s="1" t="s">
        <v>30</v>
      </c>
      <c r="F129" s="1" t="s">
        <v>1241</v>
      </c>
      <c r="G129" s="1" t="s">
        <v>31</v>
      </c>
      <c r="H129" s="1">
        <v>1</v>
      </c>
      <c r="I129" s="1">
        <f>Table1[[#This Row],[Units_Sold]]*Table1[[#This Row],[Unit_Price]]</f>
        <v>41</v>
      </c>
      <c r="J129" s="1">
        <v>41</v>
      </c>
      <c r="K129" s="1">
        <v>0</v>
      </c>
      <c r="L129" s="1">
        <v>41</v>
      </c>
      <c r="M129" s="1">
        <v>18.559999999999999</v>
      </c>
      <c r="N129" s="1">
        <v>33</v>
      </c>
      <c r="O129" s="1" t="s">
        <v>19</v>
      </c>
      <c r="P129" s="1" t="s">
        <v>51</v>
      </c>
    </row>
    <row r="130" spans="1:16" x14ac:dyDescent="0.3">
      <c r="A130" s="1">
        <v>100694</v>
      </c>
      <c r="B130" s="2">
        <v>45321</v>
      </c>
      <c r="C130" s="1" t="s">
        <v>181</v>
      </c>
      <c r="D130" s="1" t="s">
        <v>66</v>
      </c>
      <c r="E130" s="1" t="s">
        <v>17</v>
      </c>
      <c r="F130" s="1" t="s">
        <v>1241</v>
      </c>
      <c r="G130" s="1" t="s">
        <v>31</v>
      </c>
      <c r="H130" s="1">
        <v>3</v>
      </c>
      <c r="I130" s="1">
        <f>Table1[[#This Row],[Units_Sold]]*Table1[[#This Row],[Unit_Price]]</f>
        <v>315.27</v>
      </c>
      <c r="J130" s="1">
        <v>105.09</v>
      </c>
      <c r="K130" s="1">
        <v>0</v>
      </c>
      <c r="L130" s="1">
        <v>315.27</v>
      </c>
      <c r="M130" s="1">
        <v>121.3</v>
      </c>
      <c r="N130" s="1">
        <v>33</v>
      </c>
      <c r="O130" s="1" t="s">
        <v>19</v>
      </c>
      <c r="P130" s="1" t="s">
        <v>51</v>
      </c>
    </row>
    <row r="131" spans="1:16" x14ac:dyDescent="0.3">
      <c r="A131" s="1">
        <v>100630</v>
      </c>
      <c r="B131" s="2">
        <v>45587</v>
      </c>
      <c r="C131" s="1" t="s">
        <v>182</v>
      </c>
      <c r="D131" s="1" t="s">
        <v>70</v>
      </c>
      <c r="E131" s="1" t="s">
        <v>25</v>
      </c>
      <c r="F131" s="1" t="s">
        <v>1237</v>
      </c>
      <c r="G131" s="1" t="s">
        <v>48</v>
      </c>
      <c r="H131" s="1">
        <v>4</v>
      </c>
      <c r="I131" s="1">
        <f>Table1[[#This Row],[Units_Sold]]*Table1[[#This Row],[Unit_Price]]</f>
        <v>596.28</v>
      </c>
      <c r="J131" s="1">
        <v>149.07</v>
      </c>
      <c r="K131" s="1">
        <v>10</v>
      </c>
      <c r="L131" s="1">
        <v>536.65</v>
      </c>
      <c r="M131" s="1">
        <v>128.91999999999999</v>
      </c>
      <c r="N131" s="1">
        <v>27</v>
      </c>
      <c r="O131" s="1" t="s">
        <v>19</v>
      </c>
      <c r="P131" s="1" t="s">
        <v>81</v>
      </c>
    </row>
    <row r="132" spans="1:16" x14ac:dyDescent="0.3">
      <c r="A132" s="1">
        <v>100274</v>
      </c>
      <c r="B132" s="2">
        <v>45367</v>
      </c>
      <c r="C132" s="1" t="s">
        <v>183</v>
      </c>
      <c r="D132" s="1" t="s">
        <v>100</v>
      </c>
      <c r="E132" s="1" t="s">
        <v>25</v>
      </c>
      <c r="F132" s="1" t="s">
        <v>1238</v>
      </c>
      <c r="G132" s="1" t="s">
        <v>64</v>
      </c>
      <c r="H132" s="1">
        <v>2</v>
      </c>
      <c r="I132" s="1">
        <f>Table1[[#This Row],[Units_Sold]]*Table1[[#This Row],[Unit_Price]]</f>
        <v>276.89999999999998</v>
      </c>
      <c r="J132" s="1">
        <v>138.44999999999999</v>
      </c>
      <c r="K132" s="1">
        <v>10</v>
      </c>
      <c r="L132" s="1">
        <v>249.21</v>
      </c>
      <c r="M132" s="1">
        <v>81.96</v>
      </c>
      <c r="N132" s="1">
        <v>33</v>
      </c>
      <c r="O132" s="1" t="s">
        <v>26</v>
      </c>
      <c r="P132" s="1" t="s">
        <v>43</v>
      </c>
    </row>
    <row r="133" spans="1:16" x14ac:dyDescent="0.3">
      <c r="A133" s="1">
        <v>101147</v>
      </c>
      <c r="B133" s="2">
        <v>45922</v>
      </c>
      <c r="C133" s="1" t="s">
        <v>184</v>
      </c>
      <c r="D133" s="1" t="s">
        <v>53</v>
      </c>
      <c r="E133" s="1" t="s">
        <v>30</v>
      </c>
      <c r="F133" s="1" t="s">
        <v>1241</v>
      </c>
      <c r="G133" s="1" t="s">
        <v>18</v>
      </c>
      <c r="H133" s="1">
        <v>4</v>
      </c>
      <c r="I133" s="1">
        <f>Table1[[#This Row],[Units_Sold]]*Table1[[#This Row],[Unit_Price]]</f>
        <v>89.48</v>
      </c>
      <c r="J133" s="1">
        <v>22.37</v>
      </c>
      <c r="K133" s="1">
        <v>10</v>
      </c>
      <c r="L133" s="1">
        <v>80.53</v>
      </c>
      <c r="M133" s="1">
        <v>21.97</v>
      </c>
      <c r="N133" s="1">
        <v>18</v>
      </c>
      <c r="O133" s="1" t="s">
        <v>19</v>
      </c>
      <c r="P133" s="1" t="s">
        <v>51</v>
      </c>
    </row>
    <row r="134" spans="1:16" x14ac:dyDescent="0.3">
      <c r="A134" s="1">
        <v>100308</v>
      </c>
      <c r="B134" s="2">
        <v>45830</v>
      </c>
      <c r="C134" s="1" t="s">
        <v>185</v>
      </c>
      <c r="D134" s="1" t="s">
        <v>16</v>
      </c>
      <c r="E134" s="1" t="s">
        <v>17</v>
      </c>
      <c r="F134" s="1" t="s">
        <v>1240</v>
      </c>
      <c r="G134" s="1" t="s">
        <v>18</v>
      </c>
      <c r="H134" s="1">
        <v>3</v>
      </c>
      <c r="I134" s="1">
        <f>Table1[[#This Row],[Units_Sold]]*Table1[[#This Row],[Unit_Price]]</f>
        <v>182.28</v>
      </c>
      <c r="J134" s="1">
        <v>60.76</v>
      </c>
      <c r="K134" s="1">
        <v>20</v>
      </c>
      <c r="L134" s="1">
        <v>145.82</v>
      </c>
      <c r="M134" s="1">
        <v>35.86</v>
      </c>
      <c r="N134" s="1">
        <v>37</v>
      </c>
      <c r="O134" s="1" t="s">
        <v>19</v>
      </c>
      <c r="P134" s="1" t="s">
        <v>20</v>
      </c>
    </row>
    <row r="135" spans="1:16" x14ac:dyDescent="0.3">
      <c r="A135" s="1">
        <v>100233</v>
      </c>
      <c r="B135" s="2">
        <v>45332</v>
      </c>
      <c r="C135" s="1" t="s">
        <v>186</v>
      </c>
      <c r="D135" s="1" t="s">
        <v>22</v>
      </c>
      <c r="E135" s="1" t="s">
        <v>17</v>
      </c>
      <c r="F135" s="1" t="s">
        <v>1237</v>
      </c>
      <c r="G135" s="1" t="s">
        <v>31</v>
      </c>
      <c r="H135" s="1">
        <v>2</v>
      </c>
      <c r="I135" s="1">
        <f>Table1[[#This Row],[Units_Sold]]*Table1[[#This Row],[Unit_Price]]</f>
        <v>56.5</v>
      </c>
      <c r="J135" s="1">
        <v>28.25</v>
      </c>
      <c r="K135" s="1">
        <v>0</v>
      </c>
      <c r="L135" s="1">
        <v>56.5</v>
      </c>
      <c r="M135" s="1">
        <v>20.77</v>
      </c>
      <c r="N135" s="1">
        <v>16</v>
      </c>
      <c r="O135" s="1" t="s">
        <v>26</v>
      </c>
      <c r="P135" s="1" t="s">
        <v>43</v>
      </c>
    </row>
    <row r="136" spans="1:16" x14ac:dyDescent="0.3">
      <c r="A136" s="1">
        <v>101047</v>
      </c>
      <c r="B136" s="2">
        <v>45442</v>
      </c>
      <c r="C136" s="1" t="s">
        <v>187</v>
      </c>
      <c r="D136" s="1" t="s">
        <v>56</v>
      </c>
      <c r="E136" s="1" t="s">
        <v>30</v>
      </c>
      <c r="F136" s="1" t="s">
        <v>1239</v>
      </c>
      <c r="G136" s="1" t="s">
        <v>18</v>
      </c>
      <c r="H136" s="1">
        <v>4</v>
      </c>
      <c r="I136" s="1">
        <f>Table1[[#This Row],[Units_Sold]]*Table1[[#This Row],[Unit_Price]]</f>
        <v>185.52</v>
      </c>
      <c r="J136" s="1">
        <v>46.38</v>
      </c>
      <c r="K136" s="1">
        <v>40</v>
      </c>
      <c r="L136" s="1">
        <v>111.31</v>
      </c>
      <c r="M136" s="1">
        <v>39.92</v>
      </c>
      <c r="N136" s="1">
        <v>27</v>
      </c>
      <c r="O136" s="1" t="s">
        <v>26</v>
      </c>
      <c r="P136" s="1" t="s">
        <v>27</v>
      </c>
    </row>
    <row r="137" spans="1:16" x14ac:dyDescent="0.3">
      <c r="A137" s="1">
        <v>100622</v>
      </c>
      <c r="B137" s="2">
        <v>45022</v>
      </c>
      <c r="C137" s="1" t="s">
        <v>188</v>
      </c>
      <c r="D137" s="1" t="s">
        <v>29</v>
      </c>
      <c r="E137" s="1" t="s">
        <v>30</v>
      </c>
      <c r="F137" s="1" t="s">
        <v>1238</v>
      </c>
      <c r="G137" s="1" t="s">
        <v>31</v>
      </c>
      <c r="H137" s="1">
        <v>5</v>
      </c>
      <c r="I137" s="1">
        <f>Table1[[#This Row],[Units_Sold]]*Table1[[#This Row],[Unit_Price]]</f>
        <v>82.15</v>
      </c>
      <c r="J137" s="1">
        <v>16.43</v>
      </c>
      <c r="K137" s="1">
        <v>10</v>
      </c>
      <c r="L137" s="1">
        <v>73.94</v>
      </c>
      <c r="M137" s="1">
        <v>28.72</v>
      </c>
      <c r="N137" s="1">
        <v>23</v>
      </c>
      <c r="O137" s="1" t="s">
        <v>19</v>
      </c>
      <c r="P137" s="1" t="s">
        <v>46</v>
      </c>
    </row>
    <row r="138" spans="1:16" x14ac:dyDescent="0.3">
      <c r="A138" s="1">
        <v>100643</v>
      </c>
      <c r="B138" s="2">
        <v>45288</v>
      </c>
      <c r="C138" s="1" t="s">
        <v>189</v>
      </c>
      <c r="D138" s="1" t="s">
        <v>16</v>
      </c>
      <c r="E138" s="1" t="s">
        <v>17</v>
      </c>
      <c r="F138" s="1" t="s">
        <v>1241</v>
      </c>
      <c r="G138" s="1" t="s">
        <v>64</v>
      </c>
      <c r="H138" s="1">
        <v>3</v>
      </c>
      <c r="I138" s="1">
        <f>Table1[[#This Row],[Units_Sold]]*Table1[[#This Row],[Unit_Price]]</f>
        <v>171.66</v>
      </c>
      <c r="J138" s="1">
        <v>57.22</v>
      </c>
      <c r="K138" s="1">
        <v>5</v>
      </c>
      <c r="L138" s="1">
        <v>163.08000000000001</v>
      </c>
      <c r="M138" s="1">
        <v>47.09</v>
      </c>
      <c r="N138" s="1">
        <v>25</v>
      </c>
      <c r="O138" s="1" t="s">
        <v>19</v>
      </c>
      <c r="P138" s="1" t="s">
        <v>20</v>
      </c>
    </row>
    <row r="139" spans="1:16" x14ac:dyDescent="0.3">
      <c r="A139" s="1">
        <v>100478</v>
      </c>
      <c r="B139" s="2">
        <v>45098</v>
      </c>
      <c r="C139" s="1" t="s">
        <v>190</v>
      </c>
      <c r="D139" s="1" t="s">
        <v>66</v>
      </c>
      <c r="E139" s="1" t="s">
        <v>17</v>
      </c>
      <c r="F139" s="1" t="s">
        <v>1237</v>
      </c>
      <c r="G139" s="1" t="s">
        <v>18</v>
      </c>
      <c r="H139" s="1">
        <v>4</v>
      </c>
      <c r="I139" s="1">
        <f>Table1[[#This Row],[Units_Sold]]*Table1[[#This Row],[Unit_Price]]</f>
        <v>399.68</v>
      </c>
      <c r="J139" s="1">
        <v>99.92</v>
      </c>
      <c r="K139" s="1">
        <v>0</v>
      </c>
      <c r="L139" s="1">
        <v>399.68</v>
      </c>
      <c r="M139" s="1">
        <v>145.79</v>
      </c>
      <c r="N139" s="1">
        <v>30</v>
      </c>
      <c r="O139" s="1" t="s">
        <v>26</v>
      </c>
      <c r="P139" s="1" t="s">
        <v>35</v>
      </c>
    </row>
    <row r="140" spans="1:16" x14ac:dyDescent="0.3">
      <c r="A140" s="1">
        <v>100471</v>
      </c>
      <c r="B140" s="2">
        <v>45312</v>
      </c>
      <c r="C140" s="1" t="s">
        <v>191</v>
      </c>
      <c r="D140" s="1" t="s">
        <v>62</v>
      </c>
      <c r="E140" s="1" t="s">
        <v>17</v>
      </c>
      <c r="F140" s="1" t="s">
        <v>1237</v>
      </c>
      <c r="G140" s="1" t="s">
        <v>48</v>
      </c>
      <c r="H140" s="1">
        <v>4</v>
      </c>
      <c r="I140" s="1">
        <f>Table1[[#This Row],[Units_Sold]]*Table1[[#This Row],[Unit_Price]]</f>
        <v>584.52</v>
      </c>
      <c r="J140" s="1">
        <v>146.13</v>
      </c>
      <c r="K140" s="1">
        <v>5</v>
      </c>
      <c r="L140" s="1">
        <v>555.29</v>
      </c>
      <c r="M140" s="1">
        <v>158.34</v>
      </c>
      <c r="N140" s="1">
        <v>16</v>
      </c>
      <c r="O140" s="1" t="s">
        <v>26</v>
      </c>
      <c r="P140" s="1" t="s">
        <v>32</v>
      </c>
    </row>
    <row r="141" spans="1:16" x14ac:dyDescent="0.3">
      <c r="A141" s="1">
        <v>100925</v>
      </c>
      <c r="B141" s="2">
        <v>45352</v>
      </c>
      <c r="C141" s="1" t="s">
        <v>192</v>
      </c>
      <c r="D141" s="1" t="s">
        <v>37</v>
      </c>
      <c r="E141" s="1" t="s">
        <v>17</v>
      </c>
      <c r="F141" s="1" t="s">
        <v>1237</v>
      </c>
      <c r="G141" s="1" t="s">
        <v>18</v>
      </c>
      <c r="H141" s="1">
        <v>5</v>
      </c>
      <c r="I141" s="1">
        <f>Table1[[#This Row],[Units_Sold]]*Table1[[#This Row],[Unit_Price]]</f>
        <v>343.1</v>
      </c>
      <c r="J141" s="1">
        <v>68.62</v>
      </c>
      <c r="K141" s="1">
        <v>20</v>
      </c>
      <c r="L141" s="1">
        <v>274.48</v>
      </c>
      <c r="M141" s="1">
        <v>76.91</v>
      </c>
      <c r="N141" s="1">
        <v>39</v>
      </c>
      <c r="O141" s="1" t="s">
        <v>26</v>
      </c>
      <c r="P141" s="1" t="s">
        <v>35</v>
      </c>
    </row>
    <row r="142" spans="1:16" x14ac:dyDescent="0.3">
      <c r="A142" s="1">
        <v>101097</v>
      </c>
      <c r="B142" s="2">
        <v>45338</v>
      </c>
      <c r="C142" s="1" t="s">
        <v>193</v>
      </c>
      <c r="D142" s="1" t="s">
        <v>66</v>
      </c>
      <c r="E142" s="1" t="s">
        <v>17</v>
      </c>
      <c r="F142" s="1" t="s">
        <v>1238</v>
      </c>
      <c r="G142" s="1" t="s">
        <v>31</v>
      </c>
      <c r="H142" s="1">
        <v>3</v>
      </c>
      <c r="I142" s="1">
        <f>Table1[[#This Row],[Units_Sold]]*Table1[[#This Row],[Unit_Price]]</f>
        <v>378.09000000000003</v>
      </c>
      <c r="J142" s="1">
        <v>126.03</v>
      </c>
      <c r="K142" s="1">
        <v>10</v>
      </c>
      <c r="L142" s="1">
        <v>340.28</v>
      </c>
      <c r="M142" s="1">
        <v>49.88</v>
      </c>
      <c r="N142" s="1">
        <v>25</v>
      </c>
      <c r="O142" s="1" t="s">
        <v>26</v>
      </c>
      <c r="P142" s="1" t="s">
        <v>46</v>
      </c>
    </row>
    <row r="143" spans="1:16" x14ac:dyDescent="0.3">
      <c r="A143" s="1">
        <v>100626</v>
      </c>
      <c r="B143" s="2">
        <v>45337</v>
      </c>
      <c r="C143" s="1" t="s">
        <v>194</v>
      </c>
      <c r="D143" s="1" t="s">
        <v>77</v>
      </c>
      <c r="E143" s="1" t="s">
        <v>30</v>
      </c>
      <c r="F143" s="1" t="s">
        <v>1237</v>
      </c>
      <c r="G143" s="1" t="s">
        <v>31</v>
      </c>
      <c r="H143" s="1">
        <v>3</v>
      </c>
      <c r="I143" s="1">
        <f>Table1[[#This Row],[Units_Sold]]*Table1[[#This Row],[Unit_Price]]</f>
        <v>98.34</v>
      </c>
      <c r="J143" s="1">
        <v>32.78</v>
      </c>
      <c r="K143" s="1">
        <v>5</v>
      </c>
      <c r="L143" s="1">
        <v>93.42</v>
      </c>
      <c r="M143" s="1">
        <v>23.12</v>
      </c>
      <c r="N143" s="1">
        <v>33</v>
      </c>
      <c r="O143" s="1" t="s">
        <v>19</v>
      </c>
      <c r="P143" s="1" t="s">
        <v>32</v>
      </c>
    </row>
    <row r="144" spans="1:16" x14ac:dyDescent="0.3">
      <c r="A144" s="1">
        <v>100394</v>
      </c>
      <c r="B144" s="2">
        <v>45670</v>
      </c>
      <c r="C144" s="1" t="s">
        <v>195</v>
      </c>
      <c r="D144" s="1" t="s">
        <v>37</v>
      </c>
      <c r="E144" s="1" t="s">
        <v>17</v>
      </c>
      <c r="F144" s="1" t="s">
        <v>1237</v>
      </c>
      <c r="G144" s="1" t="s">
        <v>31</v>
      </c>
      <c r="H144" s="1">
        <v>4</v>
      </c>
      <c r="I144" s="1">
        <f>Table1[[#This Row],[Units_Sold]]*Table1[[#This Row],[Unit_Price]]</f>
        <v>260.52</v>
      </c>
      <c r="J144" s="1">
        <v>65.13</v>
      </c>
      <c r="K144" s="1">
        <v>0</v>
      </c>
      <c r="L144" s="1">
        <v>260.52</v>
      </c>
      <c r="M144" s="1">
        <v>90.54</v>
      </c>
      <c r="N144" s="1">
        <v>27</v>
      </c>
      <c r="O144" s="1" t="s">
        <v>19</v>
      </c>
      <c r="P144" s="1" t="s">
        <v>43</v>
      </c>
    </row>
    <row r="145" spans="1:16" x14ac:dyDescent="0.3">
      <c r="A145" s="1">
        <v>100636</v>
      </c>
      <c r="B145" s="2">
        <v>45222</v>
      </c>
      <c r="C145" s="1" t="s">
        <v>196</v>
      </c>
      <c r="D145" s="1" t="s">
        <v>68</v>
      </c>
      <c r="E145" s="1" t="s">
        <v>25</v>
      </c>
      <c r="F145" s="1" t="s">
        <v>1241</v>
      </c>
      <c r="G145" s="1" t="s">
        <v>18</v>
      </c>
      <c r="H145" s="1">
        <v>3</v>
      </c>
      <c r="I145" s="1">
        <f>Table1[[#This Row],[Units_Sold]]*Table1[[#This Row],[Unit_Price]]</f>
        <v>685.95</v>
      </c>
      <c r="J145" s="1">
        <v>228.65</v>
      </c>
      <c r="K145" s="1">
        <v>10</v>
      </c>
      <c r="L145" s="1">
        <v>617.36</v>
      </c>
      <c r="M145" s="1">
        <v>202.8</v>
      </c>
      <c r="N145" s="1">
        <v>34</v>
      </c>
      <c r="O145" s="1" t="s">
        <v>19</v>
      </c>
      <c r="P145" s="1" t="s">
        <v>46</v>
      </c>
    </row>
    <row r="146" spans="1:16" x14ac:dyDescent="0.3">
      <c r="A146" s="1">
        <v>100767</v>
      </c>
      <c r="B146" s="2">
        <v>45170</v>
      </c>
      <c r="C146" s="1" t="s">
        <v>197</v>
      </c>
      <c r="D146" s="1" t="s">
        <v>100</v>
      </c>
      <c r="E146" s="1" t="s">
        <v>25</v>
      </c>
      <c r="F146" s="1" t="s">
        <v>1237</v>
      </c>
      <c r="G146" s="1" t="s">
        <v>18</v>
      </c>
      <c r="H146" s="1">
        <v>5</v>
      </c>
      <c r="I146" s="1">
        <f>Table1[[#This Row],[Units_Sold]]*Table1[[#This Row],[Unit_Price]]</f>
        <v>609.5</v>
      </c>
      <c r="J146" s="1">
        <v>121.9</v>
      </c>
      <c r="K146" s="1">
        <v>10</v>
      </c>
      <c r="L146" s="1">
        <v>548.54999999999995</v>
      </c>
      <c r="M146" s="1">
        <v>197.81</v>
      </c>
      <c r="N146" s="1">
        <v>26</v>
      </c>
      <c r="O146" s="1" t="s">
        <v>19</v>
      </c>
      <c r="P146" s="1" t="s">
        <v>32</v>
      </c>
    </row>
    <row r="147" spans="1:16" x14ac:dyDescent="0.3">
      <c r="A147" s="1">
        <v>100532</v>
      </c>
      <c r="B147" s="2">
        <v>45721</v>
      </c>
      <c r="C147" s="1" t="s">
        <v>198</v>
      </c>
      <c r="D147" s="1" t="s">
        <v>62</v>
      </c>
      <c r="E147" s="1" t="s">
        <v>17</v>
      </c>
      <c r="F147" s="1" t="s">
        <v>1238</v>
      </c>
      <c r="G147" s="1" t="s">
        <v>18</v>
      </c>
      <c r="H147" s="1">
        <v>5</v>
      </c>
      <c r="I147" s="1">
        <f>Table1[[#This Row],[Units_Sold]]*Table1[[#This Row],[Unit_Price]]</f>
        <v>665.95</v>
      </c>
      <c r="J147" s="1">
        <v>133.19</v>
      </c>
      <c r="K147" s="1">
        <v>10</v>
      </c>
      <c r="L147" s="1">
        <v>599.36</v>
      </c>
      <c r="M147" s="1">
        <v>148.43</v>
      </c>
      <c r="N147" s="1">
        <v>27</v>
      </c>
      <c r="O147" s="1" t="s">
        <v>19</v>
      </c>
      <c r="P147" s="1" t="s">
        <v>32</v>
      </c>
    </row>
    <row r="148" spans="1:16" x14ac:dyDescent="0.3">
      <c r="A148" s="1">
        <v>100717</v>
      </c>
      <c r="B148" s="2">
        <v>45017</v>
      </c>
      <c r="C148" s="1" t="s">
        <v>199</v>
      </c>
      <c r="D148" s="1" t="s">
        <v>39</v>
      </c>
      <c r="E148" s="1" t="s">
        <v>25</v>
      </c>
      <c r="F148" s="1" t="s">
        <v>1239</v>
      </c>
      <c r="G148" s="1" t="s">
        <v>18</v>
      </c>
      <c r="H148" s="1">
        <v>3</v>
      </c>
      <c r="I148" s="1">
        <f>Table1[[#This Row],[Units_Sold]]*Table1[[#This Row],[Unit_Price]]</f>
        <v>493.16999999999996</v>
      </c>
      <c r="J148" s="1">
        <v>164.39</v>
      </c>
      <c r="K148" s="1">
        <v>5</v>
      </c>
      <c r="L148" s="1">
        <v>468.51</v>
      </c>
      <c r="M148" s="1">
        <v>126.16</v>
      </c>
      <c r="N148" s="1">
        <v>24</v>
      </c>
      <c r="O148" s="1" t="s">
        <v>19</v>
      </c>
      <c r="P148" s="1" t="s">
        <v>35</v>
      </c>
    </row>
    <row r="149" spans="1:16" x14ac:dyDescent="0.3">
      <c r="A149" s="1">
        <v>100666</v>
      </c>
      <c r="B149" s="2">
        <v>45013</v>
      </c>
      <c r="C149" s="1" t="s">
        <v>200</v>
      </c>
      <c r="D149" s="1" t="s">
        <v>29</v>
      </c>
      <c r="E149" s="1" t="s">
        <v>30</v>
      </c>
      <c r="F149" s="1" t="s">
        <v>1241</v>
      </c>
      <c r="G149" s="1" t="s">
        <v>18</v>
      </c>
      <c r="H149" s="1">
        <v>3</v>
      </c>
      <c r="I149" s="1">
        <f>Table1[[#This Row],[Units_Sold]]*Table1[[#This Row],[Unit_Price]]</f>
        <v>44.55</v>
      </c>
      <c r="J149" s="1">
        <v>14.85</v>
      </c>
      <c r="K149" s="1">
        <v>0</v>
      </c>
      <c r="L149" s="1">
        <v>44.55</v>
      </c>
      <c r="M149" s="1">
        <v>18.43</v>
      </c>
      <c r="N149" s="1">
        <v>37</v>
      </c>
      <c r="O149" s="1" t="s">
        <v>19</v>
      </c>
      <c r="P149" s="1" t="s">
        <v>51</v>
      </c>
    </row>
    <row r="150" spans="1:16" x14ac:dyDescent="0.3">
      <c r="A150" s="1">
        <v>100597</v>
      </c>
      <c r="B150" s="2">
        <v>45801</v>
      </c>
      <c r="C150" s="1" t="s">
        <v>201</v>
      </c>
      <c r="D150" s="1" t="s">
        <v>70</v>
      </c>
      <c r="E150" s="1" t="s">
        <v>25</v>
      </c>
      <c r="F150" s="1" t="s">
        <v>1239</v>
      </c>
      <c r="G150" s="1" t="s">
        <v>18</v>
      </c>
      <c r="H150" s="1">
        <v>4</v>
      </c>
      <c r="I150" s="1">
        <f>Table1[[#This Row],[Units_Sold]]*Table1[[#This Row],[Unit_Price]]</f>
        <v>653.55999999999995</v>
      </c>
      <c r="J150" s="1">
        <v>163.38999999999999</v>
      </c>
      <c r="K150" s="1">
        <v>0</v>
      </c>
      <c r="L150" s="1">
        <v>653.55999999999995</v>
      </c>
      <c r="M150" s="1">
        <v>153.12</v>
      </c>
      <c r="N150" s="1">
        <v>44</v>
      </c>
      <c r="O150" s="1" t="s">
        <v>19</v>
      </c>
      <c r="P150" s="1" t="s">
        <v>81</v>
      </c>
    </row>
    <row r="151" spans="1:16" x14ac:dyDescent="0.3">
      <c r="A151" s="1">
        <v>100481</v>
      </c>
      <c r="B151" s="2">
        <v>45850</v>
      </c>
      <c r="C151" s="1" t="s">
        <v>202</v>
      </c>
      <c r="D151" s="1" t="s">
        <v>100</v>
      </c>
      <c r="E151" s="1" t="s">
        <v>25</v>
      </c>
      <c r="F151" s="1" t="s">
        <v>1241</v>
      </c>
      <c r="G151" s="1" t="s">
        <v>64</v>
      </c>
      <c r="H151" s="1">
        <v>3</v>
      </c>
      <c r="I151" s="1">
        <f>Table1[[#This Row],[Units_Sold]]*Table1[[#This Row],[Unit_Price]]</f>
        <v>349.92</v>
      </c>
      <c r="J151" s="1">
        <v>116.64</v>
      </c>
      <c r="K151" s="1">
        <v>0</v>
      </c>
      <c r="L151" s="1">
        <v>349.92</v>
      </c>
      <c r="M151" s="1">
        <v>99.73</v>
      </c>
      <c r="N151" s="1">
        <v>29</v>
      </c>
      <c r="O151" s="1" t="s">
        <v>19</v>
      </c>
      <c r="P151" s="1" t="s">
        <v>32</v>
      </c>
    </row>
    <row r="152" spans="1:16" x14ac:dyDescent="0.3">
      <c r="A152" s="1">
        <v>101102</v>
      </c>
      <c r="B152" s="2">
        <v>45284</v>
      </c>
      <c r="C152" s="1" t="s">
        <v>203</v>
      </c>
      <c r="D152" s="1" t="s">
        <v>34</v>
      </c>
      <c r="E152" s="1" t="s">
        <v>30</v>
      </c>
      <c r="F152" s="1" t="s">
        <v>1238</v>
      </c>
      <c r="G152" s="1" t="s">
        <v>31</v>
      </c>
      <c r="H152" s="1">
        <v>3</v>
      </c>
      <c r="I152" s="1">
        <f>Table1[[#This Row],[Units_Sold]]*Table1[[#This Row],[Unit_Price]]</f>
        <v>187.02</v>
      </c>
      <c r="J152" s="1">
        <v>62.34</v>
      </c>
      <c r="K152" s="1">
        <v>5</v>
      </c>
      <c r="L152" s="1">
        <v>177.67</v>
      </c>
      <c r="M152" s="1">
        <v>80.61</v>
      </c>
      <c r="N152" s="1">
        <v>16</v>
      </c>
      <c r="O152" s="1" t="s">
        <v>19</v>
      </c>
      <c r="P152" s="1" t="s">
        <v>32</v>
      </c>
    </row>
    <row r="153" spans="1:16" x14ac:dyDescent="0.3">
      <c r="A153" s="1">
        <v>100314</v>
      </c>
      <c r="B153" s="2">
        <v>45807</v>
      </c>
      <c r="C153" s="1" t="s">
        <v>204</v>
      </c>
      <c r="D153" s="1" t="s">
        <v>73</v>
      </c>
      <c r="E153" s="1" t="s">
        <v>25</v>
      </c>
      <c r="F153" s="1" t="s">
        <v>1241</v>
      </c>
      <c r="G153" s="1" t="s">
        <v>31</v>
      </c>
      <c r="H153" s="1">
        <v>1</v>
      </c>
      <c r="I153" s="1">
        <f>Table1[[#This Row],[Units_Sold]]*Table1[[#This Row],[Unit_Price]]</f>
        <v>36.619999999999997</v>
      </c>
      <c r="J153" s="1">
        <v>36.619999999999997</v>
      </c>
      <c r="K153" s="1">
        <v>10</v>
      </c>
      <c r="L153" s="1">
        <v>32.96</v>
      </c>
      <c r="M153" s="1">
        <v>10.42</v>
      </c>
      <c r="N153" s="1">
        <v>23</v>
      </c>
      <c r="O153" s="1" t="s">
        <v>19</v>
      </c>
      <c r="P153" s="1" t="s">
        <v>32</v>
      </c>
    </row>
    <row r="154" spans="1:16" x14ac:dyDescent="0.3">
      <c r="A154" s="1">
        <v>100728</v>
      </c>
      <c r="B154" s="2">
        <v>45069</v>
      </c>
      <c r="C154" s="1" t="s">
        <v>205</v>
      </c>
      <c r="D154" s="1" t="s">
        <v>29</v>
      </c>
      <c r="E154" s="1" t="s">
        <v>30</v>
      </c>
      <c r="F154" s="1" t="s">
        <v>1237</v>
      </c>
      <c r="G154" s="1" t="s">
        <v>31</v>
      </c>
      <c r="H154" s="1">
        <v>6</v>
      </c>
      <c r="I154" s="1">
        <f>Table1[[#This Row],[Units_Sold]]*Table1[[#This Row],[Unit_Price]]</f>
        <v>101.10000000000001</v>
      </c>
      <c r="J154" s="1">
        <v>16.850000000000001</v>
      </c>
      <c r="K154" s="1">
        <v>0</v>
      </c>
      <c r="L154" s="1">
        <v>101.1</v>
      </c>
      <c r="M154" s="1">
        <v>19.86</v>
      </c>
      <c r="N154" s="1">
        <v>33</v>
      </c>
      <c r="O154" s="1" t="s">
        <v>26</v>
      </c>
      <c r="P154" s="1" t="s">
        <v>20</v>
      </c>
    </row>
    <row r="155" spans="1:16" x14ac:dyDescent="0.3">
      <c r="A155" s="1">
        <v>100209</v>
      </c>
      <c r="B155" s="2">
        <v>45101</v>
      </c>
      <c r="C155" s="1" t="s">
        <v>206</v>
      </c>
      <c r="D155" s="1" t="s">
        <v>56</v>
      </c>
      <c r="E155" s="1" t="s">
        <v>30</v>
      </c>
      <c r="F155" s="1" t="s">
        <v>1237</v>
      </c>
      <c r="G155" s="1" t="s">
        <v>48</v>
      </c>
      <c r="H155" s="1">
        <v>4</v>
      </c>
      <c r="I155" s="1">
        <f>Table1[[#This Row],[Units_Sold]]*Table1[[#This Row],[Unit_Price]]</f>
        <v>186.52</v>
      </c>
      <c r="J155" s="1">
        <v>46.63</v>
      </c>
      <c r="K155" s="1">
        <v>0</v>
      </c>
      <c r="L155" s="1">
        <v>186.52</v>
      </c>
      <c r="M155" s="1">
        <v>50.18</v>
      </c>
      <c r="N155" s="1">
        <v>33</v>
      </c>
      <c r="O155" s="1" t="s">
        <v>26</v>
      </c>
      <c r="P155" s="1" t="s">
        <v>51</v>
      </c>
    </row>
    <row r="156" spans="1:16" x14ac:dyDescent="0.3">
      <c r="A156" s="1">
        <v>100933</v>
      </c>
      <c r="B156" s="2">
        <v>45379</v>
      </c>
      <c r="C156" s="1" t="s">
        <v>207</v>
      </c>
      <c r="D156" s="1" t="s">
        <v>70</v>
      </c>
      <c r="E156" s="1" t="s">
        <v>25</v>
      </c>
      <c r="F156" s="1" t="s">
        <v>1237</v>
      </c>
      <c r="G156" s="1" t="s">
        <v>31</v>
      </c>
      <c r="H156" s="1">
        <v>4</v>
      </c>
      <c r="I156" s="1">
        <f>Table1[[#This Row],[Units_Sold]]*Table1[[#This Row],[Unit_Price]]</f>
        <v>642.55999999999995</v>
      </c>
      <c r="J156" s="1">
        <v>160.63999999999999</v>
      </c>
      <c r="K156" s="1">
        <v>0</v>
      </c>
      <c r="L156" s="1">
        <v>642.55999999999995</v>
      </c>
      <c r="M156" s="1">
        <v>185.67</v>
      </c>
      <c r="N156" s="1">
        <v>30</v>
      </c>
      <c r="O156" s="1" t="s">
        <v>19</v>
      </c>
      <c r="P156" s="1" t="s">
        <v>27</v>
      </c>
    </row>
    <row r="157" spans="1:16" x14ac:dyDescent="0.3">
      <c r="A157" s="1">
        <v>100433</v>
      </c>
      <c r="B157" s="2">
        <v>45355</v>
      </c>
      <c r="C157" s="1" t="s">
        <v>208</v>
      </c>
      <c r="D157" s="1" t="s">
        <v>100</v>
      </c>
      <c r="E157" s="1" t="s">
        <v>25</v>
      </c>
      <c r="F157" s="1" t="s">
        <v>1237</v>
      </c>
      <c r="G157" s="1" t="s">
        <v>18</v>
      </c>
      <c r="H157" s="1">
        <v>2</v>
      </c>
      <c r="I157" s="1">
        <f>Table1[[#This Row],[Units_Sold]]*Table1[[#This Row],[Unit_Price]]</f>
        <v>289.16000000000003</v>
      </c>
      <c r="J157" s="1">
        <v>144.58000000000001</v>
      </c>
      <c r="K157" s="1">
        <v>0</v>
      </c>
      <c r="L157" s="1">
        <v>289.16000000000003</v>
      </c>
      <c r="M157" s="1">
        <v>96.15</v>
      </c>
      <c r="N157" s="1">
        <v>17</v>
      </c>
      <c r="O157" s="1" t="s">
        <v>19</v>
      </c>
      <c r="P157" s="1" t="s">
        <v>20</v>
      </c>
    </row>
    <row r="158" spans="1:16" x14ac:dyDescent="0.3">
      <c r="A158" s="1">
        <v>100328</v>
      </c>
      <c r="B158" s="2">
        <v>45256</v>
      </c>
      <c r="C158" s="1" t="s">
        <v>209</v>
      </c>
      <c r="D158" s="1" t="s">
        <v>37</v>
      </c>
      <c r="E158" s="1" t="s">
        <v>17</v>
      </c>
      <c r="F158" s="1" t="s">
        <v>1237</v>
      </c>
      <c r="G158" s="1" t="s">
        <v>18</v>
      </c>
      <c r="H158" s="1">
        <v>3</v>
      </c>
      <c r="I158" s="1">
        <f>Table1[[#This Row],[Units_Sold]]*Table1[[#This Row],[Unit_Price]]</f>
        <v>183</v>
      </c>
      <c r="J158" s="1">
        <v>61</v>
      </c>
      <c r="K158" s="1">
        <v>5</v>
      </c>
      <c r="L158" s="1">
        <v>173.85</v>
      </c>
      <c r="M158" s="1">
        <v>56.81</v>
      </c>
      <c r="N158" s="1">
        <v>37</v>
      </c>
      <c r="O158" s="1" t="s">
        <v>26</v>
      </c>
      <c r="P158" s="1" t="s">
        <v>43</v>
      </c>
    </row>
    <row r="159" spans="1:16" x14ac:dyDescent="0.3">
      <c r="A159" s="1">
        <v>100260</v>
      </c>
      <c r="B159" s="2">
        <v>45438</v>
      </c>
      <c r="C159" s="1" t="s">
        <v>210</v>
      </c>
      <c r="D159" s="1" t="s">
        <v>34</v>
      </c>
      <c r="E159" s="1" t="s">
        <v>30</v>
      </c>
      <c r="F159" s="1" t="s">
        <v>1238</v>
      </c>
      <c r="G159" s="1" t="s">
        <v>64</v>
      </c>
      <c r="H159" s="1">
        <v>3</v>
      </c>
      <c r="I159" s="1">
        <f>Table1[[#This Row],[Units_Sold]]*Table1[[#This Row],[Unit_Price]]</f>
        <v>196.82999999999998</v>
      </c>
      <c r="J159" s="1">
        <v>65.61</v>
      </c>
      <c r="K159" s="1">
        <v>0</v>
      </c>
      <c r="L159" s="1">
        <v>196.83</v>
      </c>
      <c r="M159" s="1">
        <v>53.06</v>
      </c>
      <c r="N159" s="1">
        <v>41</v>
      </c>
      <c r="O159" s="1" t="s">
        <v>19</v>
      </c>
      <c r="P159" s="1" t="s">
        <v>81</v>
      </c>
    </row>
    <row r="160" spans="1:16" x14ac:dyDescent="0.3">
      <c r="A160" s="1">
        <v>101116</v>
      </c>
      <c r="B160" s="2">
        <v>45058</v>
      </c>
      <c r="C160" s="1" t="s">
        <v>211</v>
      </c>
      <c r="D160" s="1" t="s">
        <v>62</v>
      </c>
      <c r="E160" s="1" t="s">
        <v>17</v>
      </c>
      <c r="F160" s="1" t="s">
        <v>1241</v>
      </c>
      <c r="G160" s="1" t="s">
        <v>48</v>
      </c>
      <c r="H160" s="1">
        <v>2</v>
      </c>
      <c r="I160" s="1">
        <f>Table1[[#This Row],[Units_Sold]]*Table1[[#This Row],[Unit_Price]]</f>
        <v>283.06</v>
      </c>
      <c r="J160" s="1">
        <v>141.53</v>
      </c>
      <c r="K160" s="1">
        <v>0</v>
      </c>
      <c r="L160" s="1">
        <v>283.06</v>
      </c>
      <c r="M160" s="1">
        <v>79.69</v>
      </c>
      <c r="N160" s="1">
        <v>24</v>
      </c>
      <c r="O160" s="1" t="s">
        <v>26</v>
      </c>
      <c r="P160" s="1" t="s">
        <v>32</v>
      </c>
    </row>
    <row r="161" spans="1:16" x14ac:dyDescent="0.3">
      <c r="A161" s="1">
        <v>100306</v>
      </c>
      <c r="B161" s="2">
        <v>45487</v>
      </c>
      <c r="C161" s="1" t="s">
        <v>212</v>
      </c>
      <c r="D161" s="1" t="s">
        <v>77</v>
      </c>
      <c r="E161" s="1" t="s">
        <v>30</v>
      </c>
      <c r="F161" s="1" t="s">
        <v>1239</v>
      </c>
      <c r="G161" s="1" t="s">
        <v>31</v>
      </c>
      <c r="H161" s="1">
        <v>2</v>
      </c>
      <c r="I161" s="1">
        <f>Table1[[#This Row],[Units_Sold]]*Table1[[#This Row],[Unit_Price]]</f>
        <v>82.04</v>
      </c>
      <c r="J161" s="1">
        <v>41.02</v>
      </c>
      <c r="K161" s="1">
        <v>10</v>
      </c>
      <c r="L161" s="1">
        <v>73.84</v>
      </c>
      <c r="M161" s="1">
        <v>24.2</v>
      </c>
      <c r="N161" s="1">
        <v>29</v>
      </c>
      <c r="O161" s="1" t="s">
        <v>19</v>
      </c>
      <c r="P161" s="1" t="s">
        <v>81</v>
      </c>
    </row>
    <row r="162" spans="1:16" x14ac:dyDescent="0.3">
      <c r="A162" s="1">
        <v>101066</v>
      </c>
      <c r="B162" s="2">
        <v>45326</v>
      </c>
      <c r="C162" s="1" t="s">
        <v>213</v>
      </c>
      <c r="D162" s="1" t="s">
        <v>29</v>
      </c>
      <c r="E162" s="1" t="s">
        <v>30</v>
      </c>
      <c r="F162" s="1" t="s">
        <v>1237</v>
      </c>
      <c r="G162" s="1" t="s">
        <v>31</v>
      </c>
      <c r="H162" s="1">
        <v>1</v>
      </c>
      <c r="I162" s="1">
        <f>Table1[[#This Row],[Units_Sold]]*Table1[[#This Row],[Unit_Price]]</f>
        <v>17.850000000000001</v>
      </c>
      <c r="J162" s="1">
        <v>17.850000000000001</v>
      </c>
      <c r="K162" s="1">
        <v>0</v>
      </c>
      <c r="L162" s="1">
        <v>17.850000000000001</v>
      </c>
      <c r="M162" s="1">
        <v>6.66</v>
      </c>
      <c r="N162" s="1">
        <v>25</v>
      </c>
      <c r="O162" s="1" t="s">
        <v>26</v>
      </c>
      <c r="P162" s="1" t="s">
        <v>32</v>
      </c>
    </row>
    <row r="163" spans="1:16" x14ac:dyDescent="0.3">
      <c r="A163" s="1">
        <v>100927</v>
      </c>
      <c r="B163" s="2">
        <v>45857</v>
      </c>
      <c r="C163" s="1" t="s">
        <v>214</v>
      </c>
      <c r="D163" s="1" t="s">
        <v>53</v>
      </c>
      <c r="E163" s="1" t="s">
        <v>30</v>
      </c>
      <c r="F163" s="1" t="s">
        <v>1237</v>
      </c>
      <c r="G163" s="1" t="s">
        <v>18</v>
      </c>
      <c r="H163" s="1">
        <v>3</v>
      </c>
      <c r="I163" s="1">
        <f>Table1[[#This Row],[Units_Sold]]*Table1[[#This Row],[Unit_Price]]</f>
        <v>72.33</v>
      </c>
      <c r="J163" s="1">
        <v>24.11</v>
      </c>
      <c r="K163" s="1">
        <v>5</v>
      </c>
      <c r="L163" s="1">
        <v>68.709999999999994</v>
      </c>
      <c r="M163" s="1">
        <v>20.82</v>
      </c>
      <c r="N163" s="1">
        <v>33</v>
      </c>
      <c r="O163" s="1" t="s">
        <v>26</v>
      </c>
      <c r="P163" s="1" t="s">
        <v>27</v>
      </c>
    </row>
    <row r="164" spans="1:16" x14ac:dyDescent="0.3">
      <c r="A164" s="1">
        <v>101024</v>
      </c>
      <c r="B164" s="2">
        <v>45289</v>
      </c>
      <c r="C164" s="1" t="s">
        <v>215</v>
      </c>
      <c r="D164" s="1" t="s">
        <v>87</v>
      </c>
      <c r="E164" s="1" t="s">
        <v>25</v>
      </c>
      <c r="F164" s="1" t="s">
        <v>1239</v>
      </c>
      <c r="G164" s="1" t="s">
        <v>18</v>
      </c>
      <c r="H164" s="1">
        <v>2</v>
      </c>
      <c r="I164" s="1">
        <f>Table1[[#This Row],[Units_Sold]]*Table1[[#This Row],[Unit_Price]]</f>
        <v>174</v>
      </c>
      <c r="J164" s="1">
        <v>87</v>
      </c>
      <c r="K164" s="1">
        <v>10</v>
      </c>
      <c r="L164" s="1">
        <v>156.6</v>
      </c>
      <c r="M164" s="1">
        <v>48.93</v>
      </c>
      <c r="N164" s="1">
        <v>42</v>
      </c>
      <c r="O164" s="1" t="s">
        <v>26</v>
      </c>
      <c r="P164" s="1" t="s">
        <v>27</v>
      </c>
    </row>
    <row r="165" spans="1:16" x14ac:dyDescent="0.3">
      <c r="A165" s="1">
        <v>100270</v>
      </c>
      <c r="B165" s="2">
        <v>45350</v>
      </c>
      <c r="C165" s="1" t="s">
        <v>216</v>
      </c>
      <c r="D165" s="1" t="s">
        <v>62</v>
      </c>
      <c r="E165" s="1" t="s">
        <v>17</v>
      </c>
      <c r="F165" s="1" t="s">
        <v>1237</v>
      </c>
      <c r="G165" s="1" t="s">
        <v>31</v>
      </c>
      <c r="H165" s="1">
        <v>3</v>
      </c>
      <c r="I165" s="1">
        <f>Table1[[#This Row],[Units_Sold]]*Table1[[#This Row],[Unit_Price]]</f>
        <v>400.02</v>
      </c>
      <c r="J165" s="1">
        <v>133.34</v>
      </c>
      <c r="K165" s="1">
        <v>0</v>
      </c>
      <c r="L165" s="1">
        <v>400.02</v>
      </c>
      <c r="M165" s="1">
        <v>81.25</v>
      </c>
      <c r="N165" s="1">
        <v>28</v>
      </c>
      <c r="O165" s="1" t="s">
        <v>122</v>
      </c>
      <c r="P165" s="1" t="s">
        <v>51</v>
      </c>
    </row>
    <row r="166" spans="1:16" x14ac:dyDescent="0.3">
      <c r="A166" s="1">
        <v>100290</v>
      </c>
      <c r="B166" s="2">
        <v>45792</v>
      </c>
      <c r="C166" s="1" t="s">
        <v>217</v>
      </c>
      <c r="D166" s="1" t="s">
        <v>29</v>
      </c>
      <c r="E166" s="1" t="s">
        <v>30</v>
      </c>
      <c r="F166" s="1" t="s">
        <v>1237</v>
      </c>
      <c r="G166" s="1" t="s">
        <v>31</v>
      </c>
      <c r="H166" s="1">
        <v>3</v>
      </c>
      <c r="I166" s="1">
        <f>Table1[[#This Row],[Units_Sold]]*Table1[[#This Row],[Unit_Price]]</f>
        <v>54.599999999999994</v>
      </c>
      <c r="J166" s="1">
        <v>18.2</v>
      </c>
      <c r="K166" s="1">
        <v>0</v>
      </c>
      <c r="L166" s="1">
        <v>54.6</v>
      </c>
      <c r="M166" s="1">
        <v>11.26</v>
      </c>
      <c r="N166" s="1">
        <v>38</v>
      </c>
      <c r="O166" s="1" t="s">
        <v>26</v>
      </c>
      <c r="P166" s="1" t="s">
        <v>27</v>
      </c>
    </row>
    <row r="167" spans="1:16" x14ac:dyDescent="0.3">
      <c r="A167" s="1">
        <v>100812</v>
      </c>
      <c r="B167" s="2">
        <v>45634</v>
      </c>
      <c r="C167" s="1" t="s">
        <v>218</v>
      </c>
      <c r="D167" s="1" t="s">
        <v>62</v>
      </c>
      <c r="E167" s="1" t="s">
        <v>17</v>
      </c>
      <c r="F167" s="1" t="s">
        <v>1241</v>
      </c>
      <c r="G167" s="1" t="s">
        <v>18</v>
      </c>
      <c r="H167" s="1">
        <v>3</v>
      </c>
      <c r="I167" s="1">
        <f>Table1[[#This Row],[Units_Sold]]*Table1[[#This Row],[Unit_Price]]</f>
        <v>435.90000000000003</v>
      </c>
      <c r="J167" s="1">
        <v>145.30000000000001</v>
      </c>
      <c r="K167" s="1">
        <v>0</v>
      </c>
      <c r="L167" s="1">
        <v>435.9</v>
      </c>
      <c r="M167" s="1">
        <v>105.17</v>
      </c>
      <c r="N167" s="1">
        <v>36</v>
      </c>
      <c r="O167" s="1" t="s">
        <v>26</v>
      </c>
      <c r="P167" s="1" t="s">
        <v>81</v>
      </c>
    </row>
    <row r="168" spans="1:16" x14ac:dyDescent="0.3">
      <c r="A168" s="1">
        <v>100096</v>
      </c>
      <c r="B168" s="2">
        <v>45384</v>
      </c>
      <c r="C168" s="1" t="s">
        <v>219</v>
      </c>
      <c r="D168" s="1" t="s">
        <v>45</v>
      </c>
      <c r="E168" s="1" t="s">
        <v>30</v>
      </c>
      <c r="F168" s="1" t="s">
        <v>1238</v>
      </c>
      <c r="G168" s="1" t="s">
        <v>31</v>
      </c>
      <c r="H168" s="1">
        <v>1</v>
      </c>
      <c r="I168" s="1">
        <f>Table1[[#This Row],[Units_Sold]]*Table1[[#This Row],[Unit_Price]]</f>
        <v>14.47</v>
      </c>
      <c r="J168" s="1">
        <v>14.47</v>
      </c>
      <c r="K168" s="1">
        <v>5</v>
      </c>
      <c r="L168" s="1">
        <v>13.75</v>
      </c>
      <c r="M168" s="1">
        <v>6.06</v>
      </c>
      <c r="N168" s="1">
        <v>22</v>
      </c>
      <c r="O168" s="1" t="s">
        <v>26</v>
      </c>
      <c r="P168" s="1" t="s">
        <v>43</v>
      </c>
    </row>
    <row r="169" spans="1:16" x14ac:dyDescent="0.3">
      <c r="A169" s="1">
        <v>100887</v>
      </c>
      <c r="B169" s="2">
        <v>45528</v>
      </c>
      <c r="C169" s="1" t="s">
        <v>220</v>
      </c>
      <c r="D169" s="1" t="s">
        <v>73</v>
      </c>
      <c r="E169" s="1" t="s">
        <v>25</v>
      </c>
      <c r="F169" s="1" t="s">
        <v>1241</v>
      </c>
      <c r="G169" s="1" t="s">
        <v>31</v>
      </c>
      <c r="H169" s="1">
        <v>2</v>
      </c>
      <c r="I169" s="1">
        <f>Table1[[#This Row],[Units_Sold]]*Table1[[#This Row],[Unit_Price]]</f>
        <v>63.92</v>
      </c>
      <c r="J169" s="1">
        <v>31.96</v>
      </c>
      <c r="K169" s="1">
        <v>10</v>
      </c>
      <c r="L169" s="1">
        <v>57.53</v>
      </c>
      <c r="M169" s="1">
        <v>20.43</v>
      </c>
      <c r="N169" s="1">
        <v>27</v>
      </c>
      <c r="O169" s="1" t="s">
        <v>19</v>
      </c>
      <c r="P169" s="1" t="s">
        <v>51</v>
      </c>
    </row>
    <row r="170" spans="1:16" x14ac:dyDescent="0.3">
      <c r="A170" s="1">
        <v>100818</v>
      </c>
      <c r="B170" s="2">
        <v>45467</v>
      </c>
      <c r="C170" s="1" t="s">
        <v>221</v>
      </c>
      <c r="D170" s="1" t="s">
        <v>39</v>
      </c>
      <c r="E170" s="1" t="s">
        <v>25</v>
      </c>
      <c r="F170" s="1" t="s">
        <v>1238</v>
      </c>
      <c r="G170" s="1" t="s">
        <v>18</v>
      </c>
      <c r="H170" s="1">
        <v>3</v>
      </c>
      <c r="I170" s="1">
        <f>Table1[[#This Row],[Units_Sold]]*Table1[[#This Row],[Unit_Price]]</f>
        <v>492.81000000000006</v>
      </c>
      <c r="J170" s="1">
        <v>164.27</v>
      </c>
      <c r="K170" s="1">
        <v>5</v>
      </c>
      <c r="L170" s="1">
        <v>468.17</v>
      </c>
      <c r="M170" s="1">
        <v>143.62</v>
      </c>
      <c r="N170" s="1">
        <v>30</v>
      </c>
      <c r="O170" s="1" t="s">
        <v>19</v>
      </c>
      <c r="P170" s="1" t="s">
        <v>32</v>
      </c>
    </row>
    <row r="171" spans="1:16" x14ac:dyDescent="0.3">
      <c r="A171" s="1">
        <v>100031</v>
      </c>
      <c r="B171" s="2">
        <v>45563</v>
      </c>
      <c r="C171" s="1" t="s">
        <v>222</v>
      </c>
      <c r="D171" s="1" t="s">
        <v>77</v>
      </c>
      <c r="E171" s="1" t="s">
        <v>30</v>
      </c>
      <c r="F171" s="1" t="s">
        <v>1241</v>
      </c>
      <c r="G171" s="1" t="s">
        <v>18</v>
      </c>
      <c r="H171" s="1">
        <v>6</v>
      </c>
      <c r="I171" s="1">
        <f>Table1[[#This Row],[Units_Sold]]*Table1[[#This Row],[Unit_Price]]</f>
        <v>218.28000000000003</v>
      </c>
      <c r="J171" s="1">
        <v>36.380000000000003</v>
      </c>
      <c r="K171" s="1">
        <v>0</v>
      </c>
      <c r="L171" s="1">
        <v>218.28</v>
      </c>
      <c r="M171" s="1">
        <v>51.1</v>
      </c>
      <c r="N171" s="1">
        <v>23</v>
      </c>
      <c r="O171" s="1" t="s">
        <v>26</v>
      </c>
      <c r="P171" s="1" t="s">
        <v>43</v>
      </c>
    </row>
    <row r="172" spans="1:16" x14ac:dyDescent="0.3">
      <c r="A172" s="1">
        <v>100762</v>
      </c>
      <c r="B172" s="2">
        <v>45342</v>
      </c>
      <c r="C172" s="1" t="s">
        <v>223</v>
      </c>
      <c r="D172" s="1" t="s">
        <v>37</v>
      </c>
      <c r="E172" s="1" t="s">
        <v>17</v>
      </c>
      <c r="F172" s="1" t="s">
        <v>1241</v>
      </c>
      <c r="G172" s="1" t="s">
        <v>18</v>
      </c>
      <c r="H172" s="1">
        <v>3</v>
      </c>
      <c r="I172" s="1">
        <f>Table1[[#This Row],[Units_Sold]]*Table1[[#This Row],[Unit_Price]]</f>
        <v>203.49</v>
      </c>
      <c r="J172" s="1">
        <v>67.83</v>
      </c>
      <c r="K172" s="1">
        <v>10</v>
      </c>
      <c r="L172" s="1">
        <v>183.14</v>
      </c>
      <c r="M172" s="1">
        <v>47.92</v>
      </c>
      <c r="N172" s="1">
        <v>27</v>
      </c>
      <c r="O172" s="1" t="s">
        <v>19</v>
      </c>
      <c r="P172" s="1" t="s">
        <v>46</v>
      </c>
    </row>
    <row r="173" spans="1:16" x14ac:dyDescent="0.3">
      <c r="A173" s="1">
        <v>100953</v>
      </c>
      <c r="B173" s="2">
        <v>45401</v>
      </c>
      <c r="C173" s="1" t="s">
        <v>224</v>
      </c>
      <c r="D173" s="1" t="s">
        <v>16</v>
      </c>
      <c r="E173" s="1" t="s">
        <v>17</v>
      </c>
      <c r="F173" s="1" t="s">
        <v>1238</v>
      </c>
      <c r="G173" s="1" t="s">
        <v>31</v>
      </c>
      <c r="H173" s="1">
        <v>4</v>
      </c>
      <c r="I173" s="1">
        <f>Table1[[#This Row],[Units_Sold]]*Table1[[#This Row],[Unit_Price]]</f>
        <v>223.2</v>
      </c>
      <c r="J173" s="1">
        <v>55.8</v>
      </c>
      <c r="K173" s="1">
        <v>5</v>
      </c>
      <c r="L173" s="1">
        <v>212.04</v>
      </c>
      <c r="M173" s="1">
        <v>65.12</v>
      </c>
      <c r="N173" s="1">
        <v>20</v>
      </c>
      <c r="O173" s="1" t="s">
        <v>26</v>
      </c>
      <c r="P173" s="1" t="s">
        <v>35</v>
      </c>
    </row>
    <row r="174" spans="1:16" x14ac:dyDescent="0.3">
      <c r="A174" s="1">
        <v>100319</v>
      </c>
      <c r="B174" s="2">
        <v>44941</v>
      </c>
      <c r="C174" s="1" t="s">
        <v>225</v>
      </c>
      <c r="D174" s="1" t="s">
        <v>22</v>
      </c>
      <c r="E174" s="1" t="s">
        <v>17</v>
      </c>
      <c r="F174" s="1" t="s">
        <v>1239</v>
      </c>
      <c r="G174" s="1" t="s">
        <v>64</v>
      </c>
      <c r="H174" s="1">
        <v>3</v>
      </c>
      <c r="I174" s="1">
        <f>Table1[[#This Row],[Units_Sold]]*Table1[[#This Row],[Unit_Price]]</f>
        <v>82.35</v>
      </c>
      <c r="J174" s="1">
        <v>27.45</v>
      </c>
      <c r="K174" s="1">
        <v>20</v>
      </c>
      <c r="L174" s="1">
        <v>65.88</v>
      </c>
      <c r="M174" s="1">
        <v>13.79</v>
      </c>
      <c r="N174" s="1">
        <v>39</v>
      </c>
      <c r="O174" s="1" t="s">
        <v>26</v>
      </c>
      <c r="P174" s="1" t="s">
        <v>20</v>
      </c>
    </row>
    <row r="175" spans="1:16" x14ac:dyDescent="0.3">
      <c r="A175" s="1">
        <v>100298</v>
      </c>
      <c r="B175" s="2">
        <v>45387</v>
      </c>
      <c r="C175" s="1" t="s">
        <v>226</v>
      </c>
      <c r="D175" s="1" t="s">
        <v>22</v>
      </c>
      <c r="E175" s="1" t="s">
        <v>17</v>
      </c>
      <c r="F175" s="1" t="s">
        <v>1237</v>
      </c>
      <c r="G175" s="1" t="s">
        <v>18</v>
      </c>
      <c r="H175" s="1">
        <v>2</v>
      </c>
      <c r="I175" s="1">
        <f>Table1[[#This Row],[Units_Sold]]*Table1[[#This Row],[Unit_Price]]</f>
        <v>53.18</v>
      </c>
      <c r="J175" s="1">
        <v>26.59</v>
      </c>
      <c r="K175" s="1">
        <v>5</v>
      </c>
      <c r="L175" s="1">
        <v>50.52</v>
      </c>
      <c r="M175" s="1">
        <v>10.34</v>
      </c>
      <c r="N175" s="1">
        <v>33</v>
      </c>
      <c r="O175" s="1" t="s">
        <v>122</v>
      </c>
      <c r="P175" s="1" t="s">
        <v>51</v>
      </c>
    </row>
    <row r="176" spans="1:16" x14ac:dyDescent="0.3">
      <c r="A176" s="1">
        <v>100199</v>
      </c>
      <c r="B176" s="2">
        <v>45760</v>
      </c>
      <c r="C176" s="1" t="s">
        <v>227</v>
      </c>
      <c r="D176" s="1" t="s">
        <v>66</v>
      </c>
      <c r="E176" s="1" t="s">
        <v>17</v>
      </c>
      <c r="F176" s="1" t="s">
        <v>1237</v>
      </c>
      <c r="G176" s="1" t="s">
        <v>18</v>
      </c>
      <c r="H176" s="1">
        <v>1</v>
      </c>
      <c r="I176" s="1">
        <f>Table1[[#This Row],[Units_Sold]]*Table1[[#This Row],[Unit_Price]]</f>
        <v>127.46</v>
      </c>
      <c r="J176" s="1">
        <v>127.46</v>
      </c>
      <c r="K176" s="1">
        <v>0</v>
      </c>
      <c r="L176" s="1">
        <v>127.46</v>
      </c>
      <c r="M176" s="1">
        <v>39.47</v>
      </c>
      <c r="N176" s="1">
        <v>32</v>
      </c>
      <c r="O176" s="1" t="s">
        <v>26</v>
      </c>
      <c r="P176" s="1" t="s">
        <v>46</v>
      </c>
    </row>
    <row r="177" spans="1:16" x14ac:dyDescent="0.3">
      <c r="A177" s="1">
        <v>100560</v>
      </c>
      <c r="B177" s="2">
        <v>45463</v>
      </c>
      <c r="C177" s="1" t="s">
        <v>228</v>
      </c>
      <c r="D177" s="1" t="s">
        <v>70</v>
      </c>
      <c r="E177" s="1" t="s">
        <v>25</v>
      </c>
      <c r="F177" s="1" t="s">
        <v>1237</v>
      </c>
      <c r="G177" s="1" t="s">
        <v>18</v>
      </c>
      <c r="H177" s="1">
        <v>5</v>
      </c>
      <c r="I177" s="1">
        <f>Table1[[#This Row],[Units_Sold]]*Table1[[#This Row],[Unit_Price]]</f>
        <v>770.05</v>
      </c>
      <c r="J177" s="1">
        <v>154.01</v>
      </c>
      <c r="K177" s="1">
        <v>5</v>
      </c>
      <c r="L177" s="1">
        <v>731.55</v>
      </c>
      <c r="M177" s="1">
        <v>213.79</v>
      </c>
      <c r="N177" s="1">
        <v>26</v>
      </c>
      <c r="O177" s="1" t="s">
        <v>19</v>
      </c>
      <c r="P177" s="1" t="s">
        <v>35</v>
      </c>
    </row>
    <row r="178" spans="1:16" x14ac:dyDescent="0.3">
      <c r="A178" s="1">
        <v>100178</v>
      </c>
      <c r="B178" s="2">
        <v>45873</v>
      </c>
      <c r="C178" s="1" t="s">
        <v>229</v>
      </c>
      <c r="D178" s="1" t="s">
        <v>56</v>
      </c>
      <c r="E178" s="1" t="s">
        <v>30</v>
      </c>
      <c r="F178" s="1" t="s">
        <v>1241</v>
      </c>
      <c r="G178" s="1" t="s">
        <v>18</v>
      </c>
      <c r="H178" s="1">
        <v>3</v>
      </c>
      <c r="I178" s="1">
        <f>Table1[[#This Row],[Units_Sold]]*Table1[[#This Row],[Unit_Price]]</f>
        <v>121.17</v>
      </c>
      <c r="J178" s="1">
        <v>40.39</v>
      </c>
      <c r="K178" s="1">
        <v>40</v>
      </c>
      <c r="L178" s="1">
        <v>72.7</v>
      </c>
      <c r="M178" s="1">
        <v>28.43</v>
      </c>
      <c r="N178" s="1">
        <v>29</v>
      </c>
      <c r="O178" s="1" t="s">
        <v>26</v>
      </c>
      <c r="P178" s="1" t="s">
        <v>35</v>
      </c>
    </row>
    <row r="179" spans="1:16" x14ac:dyDescent="0.3">
      <c r="A179" s="1">
        <v>101131</v>
      </c>
      <c r="B179" s="2">
        <v>45548</v>
      </c>
      <c r="C179" s="1" t="s">
        <v>230</v>
      </c>
      <c r="D179" s="1" t="s">
        <v>62</v>
      </c>
      <c r="E179" s="1" t="s">
        <v>17</v>
      </c>
      <c r="F179" s="1" t="s">
        <v>1237</v>
      </c>
      <c r="G179" s="1" t="s">
        <v>18</v>
      </c>
      <c r="H179" s="1">
        <v>5</v>
      </c>
      <c r="I179" s="1">
        <f>Table1[[#This Row],[Units_Sold]]*Table1[[#This Row],[Unit_Price]]</f>
        <v>740.8</v>
      </c>
      <c r="J179" s="1">
        <v>148.16</v>
      </c>
      <c r="K179" s="1">
        <v>5</v>
      </c>
      <c r="L179" s="1">
        <v>703.76</v>
      </c>
      <c r="M179" s="1">
        <v>201.68</v>
      </c>
      <c r="N179" s="1">
        <v>26</v>
      </c>
      <c r="O179" s="1" t="s">
        <v>19</v>
      </c>
      <c r="P179" s="1" t="s">
        <v>27</v>
      </c>
    </row>
    <row r="180" spans="1:16" x14ac:dyDescent="0.3">
      <c r="A180" s="1">
        <v>100088</v>
      </c>
      <c r="B180" s="2">
        <v>45408</v>
      </c>
      <c r="C180" s="1" t="s">
        <v>231</v>
      </c>
      <c r="D180" s="1" t="s">
        <v>59</v>
      </c>
      <c r="E180" s="1" t="s">
        <v>17</v>
      </c>
      <c r="F180" s="1" t="s">
        <v>1238</v>
      </c>
      <c r="G180" s="1" t="s">
        <v>18</v>
      </c>
      <c r="H180" s="1">
        <v>3</v>
      </c>
      <c r="I180" s="1">
        <f>Table1[[#This Row],[Units_Sold]]*Table1[[#This Row],[Unit_Price]]</f>
        <v>86.01</v>
      </c>
      <c r="J180" s="1">
        <v>28.67</v>
      </c>
      <c r="K180" s="1">
        <v>5</v>
      </c>
      <c r="L180" s="1">
        <v>81.709999999999994</v>
      </c>
      <c r="M180" s="1">
        <v>17.010000000000002</v>
      </c>
      <c r="N180" s="1">
        <v>34</v>
      </c>
      <c r="O180" s="1" t="s">
        <v>26</v>
      </c>
      <c r="P180" s="1" t="s">
        <v>32</v>
      </c>
    </row>
    <row r="181" spans="1:16" x14ac:dyDescent="0.3">
      <c r="A181" s="1">
        <v>100787</v>
      </c>
      <c r="B181" s="2">
        <v>45857</v>
      </c>
      <c r="C181" s="1" t="s">
        <v>232</v>
      </c>
      <c r="D181" s="1" t="s">
        <v>59</v>
      </c>
      <c r="E181" s="1" t="s">
        <v>17</v>
      </c>
      <c r="F181" s="1" t="s">
        <v>1240</v>
      </c>
      <c r="G181" s="1" t="s">
        <v>64</v>
      </c>
      <c r="H181" s="1">
        <v>2</v>
      </c>
      <c r="I181" s="1">
        <f>Table1[[#This Row],[Units_Sold]]*Table1[[#This Row],[Unit_Price]]</f>
        <v>60.72</v>
      </c>
      <c r="J181" s="1">
        <v>30.36</v>
      </c>
      <c r="K181" s="1">
        <v>0</v>
      </c>
      <c r="L181" s="1">
        <v>60.72</v>
      </c>
      <c r="M181" s="1">
        <v>10.79</v>
      </c>
      <c r="N181" s="1">
        <v>30</v>
      </c>
      <c r="O181" s="1" t="s">
        <v>19</v>
      </c>
      <c r="P181" s="1" t="s">
        <v>81</v>
      </c>
    </row>
    <row r="182" spans="1:16" x14ac:dyDescent="0.3">
      <c r="A182" s="1">
        <v>100724</v>
      </c>
      <c r="B182" s="2">
        <v>45453</v>
      </c>
      <c r="C182" s="1" t="s">
        <v>233</v>
      </c>
      <c r="D182" s="1" t="s">
        <v>73</v>
      </c>
      <c r="E182" s="1" t="s">
        <v>25</v>
      </c>
      <c r="F182" s="1" t="s">
        <v>1241</v>
      </c>
      <c r="G182" s="1" t="s">
        <v>18</v>
      </c>
      <c r="H182" s="1">
        <v>2</v>
      </c>
      <c r="I182" s="1">
        <f>Table1[[#This Row],[Units_Sold]]*Table1[[#This Row],[Unit_Price]]</f>
        <v>70.78</v>
      </c>
      <c r="J182" s="1">
        <v>35.39</v>
      </c>
      <c r="K182" s="1">
        <v>0</v>
      </c>
      <c r="L182" s="1">
        <v>70.78</v>
      </c>
      <c r="M182" s="1">
        <v>24.76</v>
      </c>
      <c r="N182" s="1">
        <v>21</v>
      </c>
      <c r="O182" s="1" t="s">
        <v>19</v>
      </c>
      <c r="P182" s="1" t="s">
        <v>43</v>
      </c>
    </row>
    <row r="183" spans="1:16" x14ac:dyDescent="0.3">
      <c r="A183" s="1">
        <v>100826</v>
      </c>
      <c r="B183" s="2">
        <v>45650</v>
      </c>
      <c r="C183" s="1" t="s">
        <v>234</v>
      </c>
      <c r="D183" s="1" t="s">
        <v>70</v>
      </c>
      <c r="E183" s="1" t="s">
        <v>25</v>
      </c>
      <c r="F183" s="1" t="s">
        <v>1238</v>
      </c>
      <c r="G183" s="1" t="s">
        <v>31</v>
      </c>
      <c r="H183" s="1">
        <v>4</v>
      </c>
      <c r="I183" s="1">
        <f>Table1[[#This Row],[Units_Sold]]*Table1[[#This Row],[Unit_Price]]</f>
        <v>594.48</v>
      </c>
      <c r="J183" s="1">
        <v>148.62</v>
      </c>
      <c r="K183" s="1">
        <v>0</v>
      </c>
      <c r="L183" s="1">
        <v>594.48</v>
      </c>
      <c r="M183" s="1">
        <v>166.9</v>
      </c>
      <c r="N183" s="1">
        <v>21</v>
      </c>
      <c r="O183" s="1" t="s">
        <v>19</v>
      </c>
      <c r="P183" s="1" t="s">
        <v>27</v>
      </c>
    </row>
    <row r="184" spans="1:16" x14ac:dyDescent="0.3">
      <c r="A184" s="1">
        <v>100208</v>
      </c>
      <c r="B184" s="2">
        <v>45538</v>
      </c>
      <c r="C184" s="1" t="s">
        <v>235</v>
      </c>
      <c r="D184" s="1" t="s">
        <v>53</v>
      </c>
      <c r="E184" s="1" t="s">
        <v>30</v>
      </c>
      <c r="F184" s="1" t="s">
        <v>1237</v>
      </c>
      <c r="G184" s="1" t="s">
        <v>64</v>
      </c>
      <c r="H184" s="1">
        <v>3</v>
      </c>
      <c r="I184" s="1">
        <f>Table1[[#This Row],[Units_Sold]]*Table1[[#This Row],[Unit_Price]]</f>
        <v>69.87</v>
      </c>
      <c r="J184" s="1">
        <v>23.29</v>
      </c>
      <c r="K184" s="1">
        <v>40</v>
      </c>
      <c r="L184" s="1">
        <v>41.92</v>
      </c>
      <c r="M184" s="1">
        <v>13.6</v>
      </c>
      <c r="N184" s="1">
        <v>31</v>
      </c>
      <c r="O184" s="1" t="s">
        <v>19</v>
      </c>
      <c r="P184" s="1" t="s">
        <v>51</v>
      </c>
    </row>
    <row r="185" spans="1:16" x14ac:dyDescent="0.3">
      <c r="A185" s="1">
        <v>101039</v>
      </c>
      <c r="B185" s="2">
        <v>45041</v>
      </c>
      <c r="C185" s="1" t="s">
        <v>236</v>
      </c>
      <c r="D185" s="1" t="s">
        <v>87</v>
      </c>
      <c r="E185" s="1" t="s">
        <v>25</v>
      </c>
      <c r="F185" s="1" t="s">
        <v>1237</v>
      </c>
      <c r="G185" s="1" t="s">
        <v>31</v>
      </c>
      <c r="H185" s="1">
        <v>4</v>
      </c>
      <c r="I185" s="1">
        <f>Table1[[#This Row],[Units_Sold]]*Table1[[#This Row],[Unit_Price]]</f>
        <v>352.76</v>
      </c>
      <c r="J185" s="1">
        <v>88.19</v>
      </c>
      <c r="K185" s="1">
        <v>0</v>
      </c>
      <c r="L185" s="1">
        <v>352.76</v>
      </c>
      <c r="M185" s="1">
        <v>102.78</v>
      </c>
      <c r="N185" s="1">
        <v>35</v>
      </c>
      <c r="O185" s="1" t="s">
        <v>26</v>
      </c>
      <c r="P185" s="1" t="s">
        <v>43</v>
      </c>
    </row>
    <row r="186" spans="1:16" x14ac:dyDescent="0.3">
      <c r="A186" s="1">
        <v>100296</v>
      </c>
      <c r="B186" s="2">
        <v>45099</v>
      </c>
      <c r="C186" s="1" t="s">
        <v>237</v>
      </c>
      <c r="D186" s="1" t="s">
        <v>29</v>
      </c>
      <c r="E186" s="1" t="s">
        <v>30</v>
      </c>
      <c r="F186" s="1" t="s">
        <v>1237</v>
      </c>
      <c r="G186" s="1" t="s">
        <v>31</v>
      </c>
      <c r="H186" s="1">
        <v>3</v>
      </c>
      <c r="I186" s="1">
        <f>Table1[[#This Row],[Units_Sold]]*Table1[[#This Row],[Unit_Price]]</f>
        <v>54.449999999999996</v>
      </c>
      <c r="J186" s="1">
        <v>18.149999999999999</v>
      </c>
      <c r="K186" s="1">
        <v>0</v>
      </c>
      <c r="L186" s="1">
        <v>54.45</v>
      </c>
      <c r="M186" s="1">
        <v>13.66</v>
      </c>
      <c r="N186" s="1">
        <v>30</v>
      </c>
      <c r="O186" s="1" t="s">
        <v>26</v>
      </c>
      <c r="P186" s="1" t="s">
        <v>27</v>
      </c>
    </row>
    <row r="187" spans="1:16" x14ac:dyDescent="0.3">
      <c r="A187" s="1">
        <v>100997</v>
      </c>
      <c r="B187" s="2">
        <v>45207</v>
      </c>
      <c r="C187" s="1" t="s">
        <v>238</v>
      </c>
      <c r="D187" s="1" t="s">
        <v>87</v>
      </c>
      <c r="E187" s="1" t="s">
        <v>25</v>
      </c>
      <c r="F187" s="1" t="s">
        <v>1241</v>
      </c>
      <c r="G187" s="1" t="s">
        <v>31</v>
      </c>
      <c r="H187" s="1">
        <v>2</v>
      </c>
      <c r="I187" s="1">
        <f>Table1[[#This Row],[Units_Sold]]*Table1[[#This Row],[Unit_Price]]</f>
        <v>146.24</v>
      </c>
      <c r="J187" s="1">
        <v>73.12</v>
      </c>
      <c r="K187" s="1">
        <v>0</v>
      </c>
      <c r="L187" s="1">
        <v>146.24</v>
      </c>
      <c r="M187" s="1">
        <v>45.75</v>
      </c>
      <c r="N187" s="1">
        <v>39</v>
      </c>
      <c r="O187" s="1" t="s">
        <v>19</v>
      </c>
      <c r="P187" s="1" t="s">
        <v>32</v>
      </c>
    </row>
    <row r="188" spans="1:16" x14ac:dyDescent="0.3">
      <c r="A188" s="1">
        <v>100497</v>
      </c>
      <c r="B188" s="2">
        <v>45637</v>
      </c>
      <c r="C188" s="1" t="s">
        <v>239</v>
      </c>
      <c r="D188" s="1" t="s">
        <v>29</v>
      </c>
      <c r="E188" s="1" t="s">
        <v>30</v>
      </c>
      <c r="F188" s="1" t="s">
        <v>1237</v>
      </c>
      <c r="G188" s="1" t="s">
        <v>31</v>
      </c>
      <c r="H188" s="1">
        <v>3</v>
      </c>
      <c r="I188" s="1">
        <f>Table1[[#This Row],[Units_Sold]]*Table1[[#This Row],[Unit_Price]]</f>
        <v>53.760000000000005</v>
      </c>
      <c r="J188" s="1">
        <v>17.920000000000002</v>
      </c>
      <c r="K188" s="1">
        <v>0</v>
      </c>
      <c r="L188" s="1">
        <v>53.76</v>
      </c>
      <c r="M188" s="1">
        <v>19.989999999999998</v>
      </c>
      <c r="N188" s="1">
        <v>22</v>
      </c>
      <c r="O188" s="1" t="s">
        <v>19</v>
      </c>
      <c r="P188" s="1" t="s">
        <v>46</v>
      </c>
    </row>
    <row r="189" spans="1:16" x14ac:dyDescent="0.3">
      <c r="A189" s="1">
        <v>100834</v>
      </c>
      <c r="B189" s="2">
        <v>45356</v>
      </c>
      <c r="C189" s="1" t="s">
        <v>240</v>
      </c>
      <c r="D189" s="1" t="s">
        <v>62</v>
      </c>
      <c r="E189" s="1" t="s">
        <v>17</v>
      </c>
      <c r="F189" s="1" t="s">
        <v>1237</v>
      </c>
      <c r="G189" s="1" t="s">
        <v>48</v>
      </c>
      <c r="H189" s="1">
        <v>2</v>
      </c>
      <c r="I189" s="1">
        <f>Table1[[#This Row],[Units_Sold]]*Table1[[#This Row],[Unit_Price]]</f>
        <v>308.39999999999998</v>
      </c>
      <c r="J189" s="1">
        <v>154.19999999999999</v>
      </c>
      <c r="K189" s="1">
        <v>0</v>
      </c>
      <c r="L189" s="1">
        <v>308.39999999999998</v>
      </c>
      <c r="M189" s="1">
        <v>91.69</v>
      </c>
      <c r="N189" s="1">
        <v>17</v>
      </c>
      <c r="O189" s="1" t="s">
        <v>19</v>
      </c>
      <c r="P189" s="1" t="s">
        <v>43</v>
      </c>
    </row>
    <row r="190" spans="1:16" x14ac:dyDescent="0.3">
      <c r="A190" s="1">
        <v>100429</v>
      </c>
      <c r="B190" s="2">
        <v>45552</v>
      </c>
      <c r="C190" s="1" t="s">
        <v>241</v>
      </c>
      <c r="D190" s="1" t="s">
        <v>73</v>
      </c>
      <c r="E190" s="1" t="s">
        <v>25</v>
      </c>
      <c r="F190" s="1" t="s">
        <v>1240</v>
      </c>
      <c r="G190" s="1" t="s">
        <v>18</v>
      </c>
      <c r="H190" s="1">
        <v>1</v>
      </c>
      <c r="I190" s="1">
        <f>Table1[[#This Row],[Units_Sold]]*Table1[[#This Row],[Unit_Price]]</f>
        <v>32.9</v>
      </c>
      <c r="J190" s="1">
        <v>32.9</v>
      </c>
      <c r="K190" s="1">
        <v>20</v>
      </c>
      <c r="L190" s="1">
        <v>26.32</v>
      </c>
      <c r="M190" s="1">
        <v>8.7899999999999991</v>
      </c>
      <c r="N190" s="1">
        <v>20</v>
      </c>
      <c r="O190" s="1" t="s">
        <v>26</v>
      </c>
      <c r="P190" s="1" t="s">
        <v>51</v>
      </c>
    </row>
    <row r="191" spans="1:16" x14ac:dyDescent="0.3">
      <c r="A191" s="1">
        <v>100506</v>
      </c>
      <c r="B191" s="2">
        <v>44939</v>
      </c>
      <c r="C191" s="1" t="s">
        <v>242</v>
      </c>
      <c r="D191" s="1" t="s">
        <v>73</v>
      </c>
      <c r="E191" s="1" t="s">
        <v>25</v>
      </c>
      <c r="F191" s="1" t="s">
        <v>1241</v>
      </c>
      <c r="G191" s="1" t="s">
        <v>18</v>
      </c>
      <c r="H191" s="1">
        <v>6</v>
      </c>
      <c r="I191" s="1">
        <f>Table1[[#This Row],[Units_Sold]]*Table1[[#This Row],[Unit_Price]]</f>
        <v>243.78000000000003</v>
      </c>
      <c r="J191" s="1">
        <v>40.630000000000003</v>
      </c>
      <c r="K191" s="1">
        <v>5</v>
      </c>
      <c r="L191" s="1">
        <v>231.59</v>
      </c>
      <c r="M191" s="1">
        <v>81.33</v>
      </c>
      <c r="N191" s="1">
        <v>23</v>
      </c>
      <c r="O191" s="1" t="s">
        <v>19</v>
      </c>
      <c r="P191" s="1" t="s">
        <v>35</v>
      </c>
    </row>
    <row r="192" spans="1:16" x14ac:dyDescent="0.3">
      <c r="A192" s="1">
        <v>100830</v>
      </c>
      <c r="B192" s="2">
        <v>45444</v>
      </c>
      <c r="C192" s="1" t="s">
        <v>243</v>
      </c>
      <c r="D192" s="1" t="s">
        <v>42</v>
      </c>
      <c r="E192" s="1" t="s">
        <v>25</v>
      </c>
      <c r="F192" s="1" t="s">
        <v>1238</v>
      </c>
      <c r="G192" s="1" t="s">
        <v>31</v>
      </c>
      <c r="H192" s="1">
        <v>2</v>
      </c>
      <c r="I192" s="1">
        <f>Table1[[#This Row],[Units_Sold]]*Table1[[#This Row],[Unit_Price]]</f>
        <v>316.77999999999997</v>
      </c>
      <c r="J192" s="1">
        <v>158.38999999999999</v>
      </c>
      <c r="K192" s="1">
        <v>10</v>
      </c>
      <c r="L192" s="1">
        <v>285.10000000000002</v>
      </c>
      <c r="M192" s="1">
        <v>99.32</v>
      </c>
      <c r="N192" s="1">
        <v>37</v>
      </c>
      <c r="O192" s="1" t="s">
        <v>26</v>
      </c>
      <c r="P192" s="1" t="s">
        <v>51</v>
      </c>
    </row>
    <row r="193" spans="1:16" x14ac:dyDescent="0.3">
      <c r="A193" s="1">
        <v>100693</v>
      </c>
      <c r="B193" s="2">
        <v>45717</v>
      </c>
      <c r="C193" s="1" t="s">
        <v>244</v>
      </c>
      <c r="D193" s="1" t="s">
        <v>68</v>
      </c>
      <c r="E193" s="1" t="s">
        <v>25</v>
      </c>
      <c r="F193" s="1" t="s">
        <v>1238</v>
      </c>
      <c r="G193" s="1" t="s">
        <v>31</v>
      </c>
      <c r="H193" s="1">
        <v>2</v>
      </c>
      <c r="I193" s="1">
        <f>Table1[[#This Row],[Units_Sold]]*Table1[[#This Row],[Unit_Price]]</f>
        <v>476.88</v>
      </c>
      <c r="J193" s="1">
        <v>238.44</v>
      </c>
      <c r="K193" s="1">
        <v>0</v>
      </c>
      <c r="L193" s="1">
        <v>476.88</v>
      </c>
      <c r="M193" s="1">
        <v>148.19</v>
      </c>
      <c r="N193" s="1">
        <v>25</v>
      </c>
      <c r="O193" s="1" t="s">
        <v>26</v>
      </c>
      <c r="P193" s="1" t="s">
        <v>46</v>
      </c>
    </row>
    <row r="194" spans="1:16" x14ac:dyDescent="0.3">
      <c r="A194" s="1">
        <v>100010</v>
      </c>
      <c r="B194" s="2">
        <v>45151</v>
      </c>
      <c r="C194" s="1" t="s">
        <v>245</v>
      </c>
      <c r="D194" s="1" t="s">
        <v>68</v>
      </c>
      <c r="E194" s="1" t="s">
        <v>25</v>
      </c>
      <c r="F194" s="1" t="s">
        <v>1241</v>
      </c>
      <c r="G194" s="1" t="s">
        <v>18</v>
      </c>
      <c r="H194" s="1">
        <v>1</v>
      </c>
      <c r="I194" s="1">
        <f>Table1[[#This Row],[Units_Sold]]*Table1[[#This Row],[Unit_Price]]</f>
        <v>225.7</v>
      </c>
      <c r="J194" s="1">
        <v>225.7</v>
      </c>
      <c r="K194" s="1">
        <v>0</v>
      </c>
      <c r="L194" s="1">
        <v>225.7</v>
      </c>
      <c r="M194" s="1">
        <v>63.36</v>
      </c>
      <c r="N194" s="1">
        <v>34</v>
      </c>
      <c r="O194" s="1" t="s">
        <v>26</v>
      </c>
      <c r="P194" s="1" t="s">
        <v>35</v>
      </c>
    </row>
    <row r="195" spans="1:16" x14ac:dyDescent="0.3">
      <c r="A195" s="1">
        <v>100847</v>
      </c>
      <c r="B195" s="2">
        <v>45050</v>
      </c>
      <c r="C195" s="1" t="s">
        <v>246</v>
      </c>
      <c r="D195" s="1" t="s">
        <v>59</v>
      </c>
      <c r="E195" s="1" t="s">
        <v>17</v>
      </c>
      <c r="F195" s="1" t="s">
        <v>1241</v>
      </c>
      <c r="G195" s="1" t="s">
        <v>18</v>
      </c>
      <c r="H195" s="1">
        <v>2</v>
      </c>
      <c r="I195" s="1">
        <f>Table1[[#This Row],[Units_Sold]]*Table1[[#This Row],[Unit_Price]]</f>
        <v>58.3</v>
      </c>
      <c r="J195" s="1">
        <v>29.15</v>
      </c>
      <c r="K195" s="1">
        <v>0</v>
      </c>
      <c r="L195" s="1">
        <v>58.3</v>
      </c>
      <c r="M195" s="1">
        <v>12.32</v>
      </c>
      <c r="N195" s="1">
        <v>34</v>
      </c>
      <c r="O195" s="1" t="s">
        <v>26</v>
      </c>
      <c r="P195" s="1" t="s">
        <v>43</v>
      </c>
    </row>
    <row r="196" spans="1:16" x14ac:dyDescent="0.3">
      <c r="A196" s="1">
        <v>100462</v>
      </c>
      <c r="B196" s="2">
        <v>45099</v>
      </c>
      <c r="C196" s="1" t="s">
        <v>247</v>
      </c>
      <c r="D196" s="1" t="s">
        <v>39</v>
      </c>
      <c r="E196" s="1" t="s">
        <v>25</v>
      </c>
      <c r="F196" s="1" t="s">
        <v>1237</v>
      </c>
      <c r="G196" s="1" t="s">
        <v>31</v>
      </c>
      <c r="H196" s="1">
        <v>1</v>
      </c>
      <c r="I196" s="1">
        <f>Table1[[#This Row],[Units_Sold]]*Table1[[#This Row],[Unit_Price]]</f>
        <v>182.22</v>
      </c>
      <c r="J196" s="1">
        <v>182.22</v>
      </c>
      <c r="K196" s="1">
        <v>5</v>
      </c>
      <c r="L196" s="1">
        <v>173.11</v>
      </c>
      <c r="M196" s="1">
        <v>66.75</v>
      </c>
      <c r="N196" s="1">
        <v>35</v>
      </c>
      <c r="O196" s="1" t="s">
        <v>19</v>
      </c>
      <c r="P196" s="1" t="s">
        <v>20</v>
      </c>
    </row>
    <row r="197" spans="1:16" x14ac:dyDescent="0.3">
      <c r="A197" s="1">
        <v>100198</v>
      </c>
      <c r="B197" s="2">
        <v>45052</v>
      </c>
      <c r="C197" s="1" t="s">
        <v>248</v>
      </c>
      <c r="D197" s="1" t="s">
        <v>22</v>
      </c>
      <c r="E197" s="1" t="s">
        <v>17</v>
      </c>
      <c r="F197" s="1" t="s">
        <v>1241</v>
      </c>
      <c r="G197" s="1" t="s">
        <v>18</v>
      </c>
      <c r="H197" s="1">
        <v>3</v>
      </c>
      <c r="I197" s="1">
        <f>Table1[[#This Row],[Units_Sold]]*Table1[[#This Row],[Unit_Price]]</f>
        <v>78.900000000000006</v>
      </c>
      <c r="J197" s="1">
        <v>26.3</v>
      </c>
      <c r="K197" s="1">
        <v>5</v>
      </c>
      <c r="L197" s="1">
        <v>74.95</v>
      </c>
      <c r="M197" s="1">
        <v>13.9</v>
      </c>
      <c r="N197" s="1">
        <v>41</v>
      </c>
      <c r="O197" s="1" t="s">
        <v>19</v>
      </c>
      <c r="P197" s="1" t="s">
        <v>32</v>
      </c>
    </row>
    <row r="198" spans="1:16" x14ac:dyDescent="0.3">
      <c r="A198" s="1">
        <v>100059</v>
      </c>
      <c r="B198" s="2">
        <v>45564</v>
      </c>
      <c r="C198" s="1" t="s">
        <v>249</v>
      </c>
      <c r="D198" s="1" t="s">
        <v>45</v>
      </c>
      <c r="E198" s="1" t="s">
        <v>30</v>
      </c>
      <c r="F198" s="1" t="s">
        <v>1238</v>
      </c>
      <c r="G198" s="1" t="s">
        <v>31</v>
      </c>
      <c r="H198" s="1">
        <v>4</v>
      </c>
      <c r="I198" s="1">
        <f>Table1[[#This Row],[Units_Sold]]*Table1[[#This Row],[Unit_Price]]</f>
        <v>64.48</v>
      </c>
      <c r="J198" s="1">
        <v>16.12</v>
      </c>
      <c r="K198" s="1">
        <v>10</v>
      </c>
      <c r="L198" s="1">
        <v>58.03</v>
      </c>
      <c r="M198" s="1">
        <v>18.05</v>
      </c>
      <c r="N198" s="1">
        <v>25</v>
      </c>
      <c r="O198" s="1" t="s">
        <v>26</v>
      </c>
      <c r="P198" s="1" t="s">
        <v>32</v>
      </c>
    </row>
    <row r="199" spans="1:16" x14ac:dyDescent="0.3">
      <c r="A199" s="1">
        <v>100906</v>
      </c>
      <c r="B199" s="2">
        <v>45187</v>
      </c>
      <c r="C199" s="1" t="s">
        <v>250</v>
      </c>
      <c r="D199" s="1" t="s">
        <v>45</v>
      </c>
      <c r="E199" s="1" t="s">
        <v>30</v>
      </c>
      <c r="F199" s="1" t="s">
        <v>1237</v>
      </c>
      <c r="G199" s="1" t="s">
        <v>18</v>
      </c>
      <c r="H199" s="1">
        <v>3</v>
      </c>
      <c r="I199" s="1">
        <f>Table1[[#This Row],[Units_Sold]]*Table1[[#This Row],[Unit_Price]]</f>
        <v>49.199999999999996</v>
      </c>
      <c r="J199" s="1">
        <v>16.399999999999999</v>
      </c>
      <c r="K199" s="1">
        <v>10</v>
      </c>
      <c r="L199" s="1">
        <v>44.28</v>
      </c>
      <c r="M199" s="1">
        <v>16.260000000000002</v>
      </c>
      <c r="N199" s="1">
        <v>32</v>
      </c>
      <c r="O199" s="1" t="s">
        <v>26</v>
      </c>
      <c r="P199" s="1" t="s">
        <v>51</v>
      </c>
    </row>
    <row r="200" spans="1:16" x14ac:dyDescent="0.3">
      <c r="A200" s="1">
        <v>100996</v>
      </c>
      <c r="B200" s="2">
        <v>45208</v>
      </c>
      <c r="C200" s="1" t="s">
        <v>251</v>
      </c>
      <c r="D200" s="1" t="s">
        <v>29</v>
      </c>
      <c r="E200" s="1" t="s">
        <v>30</v>
      </c>
      <c r="F200" s="1" t="s">
        <v>1241</v>
      </c>
      <c r="G200" s="1" t="s">
        <v>18</v>
      </c>
      <c r="H200" s="1">
        <v>5</v>
      </c>
      <c r="I200" s="1">
        <f>Table1[[#This Row],[Units_Sold]]*Table1[[#This Row],[Unit_Price]]</f>
        <v>91.25</v>
      </c>
      <c r="J200" s="1">
        <v>18.25</v>
      </c>
      <c r="K200" s="1">
        <v>5</v>
      </c>
      <c r="L200" s="1">
        <v>86.69</v>
      </c>
      <c r="M200" s="1">
        <v>22.75</v>
      </c>
      <c r="N200" s="1">
        <v>33</v>
      </c>
      <c r="O200" s="1" t="s">
        <v>26</v>
      </c>
      <c r="P200" s="1" t="s">
        <v>51</v>
      </c>
    </row>
    <row r="201" spans="1:16" x14ac:dyDescent="0.3">
      <c r="A201" s="1">
        <v>100275</v>
      </c>
      <c r="B201" s="2">
        <v>45918</v>
      </c>
      <c r="C201" s="1" t="s">
        <v>252</v>
      </c>
      <c r="D201" s="1" t="s">
        <v>66</v>
      </c>
      <c r="E201" s="1" t="s">
        <v>17</v>
      </c>
      <c r="F201" s="1" t="s">
        <v>1237</v>
      </c>
      <c r="G201" s="1" t="s">
        <v>31</v>
      </c>
      <c r="H201" s="1">
        <v>4</v>
      </c>
      <c r="I201" s="1">
        <f>Table1[[#This Row],[Units_Sold]]*Table1[[#This Row],[Unit_Price]]</f>
        <v>507.8</v>
      </c>
      <c r="J201" s="1">
        <v>126.95</v>
      </c>
      <c r="K201" s="1">
        <v>5</v>
      </c>
      <c r="L201" s="1">
        <v>482.41</v>
      </c>
      <c r="M201" s="1">
        <v>187.5</v>
      </c>
      <c r="N201" s="1">
        <v>34</v>
      </c>
      <c r="O201" s="1" t="s">
        <v>19</v>
      </c>
      <c r="P201" s="1" t="s">
        <v>51</v>
      </c>
    </row>
    <row r="202" spans="1:16" x14ac:dyDescent="0.3">
      <c r="A202" s="1">
        <v>100808</v>
      </c>
      <c r="B202" s="2">
        <v>45043</v>
      </c>
      <c r="C202" s="1" t="s">
        <v>253</v>
      </c>
      <c r="D202" s="1" t="s">
        <v>29</v>
      </c>
      <c r="E202" s="1" t="s">
        <v>30</v>
      </c>
      <c r="F202" s="1" t="s">
        <v>1241</v>
      </c>
      <c r="G202" s="1" t="s">
        <v>18</v>
      </c>
      <c r="H202" s="1">
        <v>5</v>
      </c>
      <c r="I202" s="1">
        <f>Table1[[#This Row],[Units_Sold]]*Table1[[#This Row],[Unit_Price]]</f>
        <v>101.05000000000001</v>
      </c>
      <c r="J202" s="1">
        <v>20.21</v>
      </c>
      <c r="K202" s="1">
        <v>20</v>
      </c>
      <c r="L202" s="1">
        <v>80.84</v>
      </c>
      <c r="M202" s="1">
        <v>26.86</v>
      </c>
      <c r="N202" s="1">
        <v>31</v>
      </c>
      <c r="O202" s="1" t="s">
        <v>26</v>
      </c>
      <c r="P202" s="1" t="s">
        <v>20</v>
      </c>
    </row>
    <row r="203" spans="1:16" x14ac:dyDescent="0.3">
      <c r="A203" s="1">
        <v>100907</v>
      </c>
      <c r="B203" s="2">
        <v>45451</v>
      </c>
      <c r="C203" s="1" t="s">
        <v>254</v>
      </c>
      <c r="D203" s="1" t="s">
        <v>100</v>
      </c>
      <c r="E203" s="1" t="s">
        <v>25</v>
      </c>
      <c r="F203" s="1" t="s">
        <v>1238</v>
      </c>
      <c r="G203" s="1" t="s">
        <v>18</v>
      </c>
      <c r="H203" s="1">
        <v>2</v>
      </c>
      <c r="I203" s="1">
        <f>Table1[[#This Row],[Units_Sold]]*Table1[[#This Row],[Unit_Price]]</f>
        <v>268.18</v>
      </c>
      <c r="J203" s="1">
        <v>134.09</v>
      </c>
      <c r="K203" s="1">
        <v>5</v>
      </c>
      <c r="L203" s="1">
        <v>254.77</v>
      </c>
      <c r="M203" s="1">
        <v>106.21</v>
      </c>
      <c r="N203" s="1">
        <v>28</v>
      </c>
      <c r="O203" s="1" t="s">
        <v>26</v>
      </c>
      <c r="P203" s="1" t="s">
        <v>46</v>
      </c>
    </row>
    <row r="204" spans="1:16" x14ac:dyDescent="0.3">
      <c r="A204" s="1">
        <v>100657</v>
      </c>
      <c r="B204" s="2">
        <v>45635</v>
      </c>
      <c r="C204" s="1" t="s">
        <v>255</v>
      </c>
      <c r="D204" s="1" t="s">
        <v>66</v>
      </c>
      <c r="E204" s="1" t="s">
        <v>17</v>
      </c>
      <c r="F204" s="1" t="s">
        <v>1237</v>
      </c>
      <c r="G204" s="1" t="s">
        <v>18</v>
      </c>
      <c r="H204" s="1">
        <v>3</v>
      </c>
      <c r="I204" s="1">
        <f>Table1[[#This Row],[Units_Sold]]*Table1[[#This Row],[Unit_Price]]</f>
        <v>372.21</v>
      </c>
      <c r="J204" s="1">
        <v>124.07</v>
      </c>
      <c r="K204" s="1">
        <v>40</v>
      </c>
      <c r="L204" s="1">
        <v>223.33</v>
      </c>
      <c r="M204" s="1">
        <v>64.64</v>
      </c>
      <c r="N204" s="1">
        <v>30</v>
      </c>
      <c r="O204" s="1" t="s">
        <v>26</v>
      </c>
      <c r="P204" s="1" t="s">
        <v>32</v>
      </c>
    </row>
    <row r="205" spans="1:16" x14ac:dyDescent="0.3">
      <c r="A205" s="1">
        <v>100956</v>
      </c>
      <c r="B205" s="2">
        <v>45881</v>
      </c>
      <c r="C205" s="1" t="s">
        <v>256</v>
      </c>
      <c r="D205" s="1" t="s">
        <v>77</v>
      </c>
      <c r="E205" s="1" t="s">
        <v>30</v>
      </c>
      <c r="F205" s="1" t="s">
        <v>1237</v>
      </c>
      <c r="G205" s="1" t="s">
        <v>64</v>
      </c>
      <c r="H205" s="1">
        <v>6</v>
      </c>
      <c r="I205" s="1">
        <f>Table1[[#This Row],[Units_Sold]]*Table1[[#This Row],[Unit_Price]]</f>
        <v>259.74</v>
      </c>
      <c r="J205" s="1">
        <v>43.29</v>
      </c>
      <c r="K205" s="1">
        <v>20</v>
      </c>
      <c r="L205" s="1">
        <v>207.79</v>
      </c>
      <c r="M205" s="1">
        <v>75.87</v>
      </c>
      <c r="N205" s="1">
        <v>21</v>
      </c>
      <c r="O205" s="1" t="s">
        <v>19</v>
      </c>
      <c r="P205" s="1" t="s">
        <v>43</v>
      </c>
    </row>
    <row r="206" spans="1:16" x14ac:dyDescent="0.3">
      <c r="A206" s="1">
        <v>100885</v>
      </c>
      <c r="B206" s="2">
        <v>45797</v>
      </c>
      <c r="C206" s="1" t="s">
        <v>257</v>
      </c>
      <c r="D206" s="1" t="s">
        <v>62</v>
      </c>
      <c r="E206" s="1" t="s">
        <v>17</v>
      </c>
      <c r="F206" s="1" t="s">
        <v>1237</v>
      </c>
      <c r="G206" s="1" t="s">
        <v>18</v>
      </c>
      <c r="H206" s="1">
        <v>3</v>
      </c>
      <c r="I206" s="1">
        <f>Table1[[#This Row],[Units_Sold]]*Table1[[#This Row],[Unit_Price]]</f>
        <v>387.68999999999994</v>
      </c>
      <c r="J206" s="1">
        <v>129.22999999999999</v>
      </c>
      <c r="K206" s="1">
        <v>5</v>
      </c>
      <c r="L206" s="1">
        <v>368.31</v>
      </c>
      <c r="M206" s="1">
        <v>85.65</v>
      </c>
      <c r="N206" s="1">
        <v>30</v>
      </c>
      <c r="O206" s="1" t="s">
        <v>19</v>
      </c>
      <c r="P206" s="1" t="s">
        <v>81</v>
      </c>
    </row>
    <row r="207" spans="1:16" x14ac:dyDescent="0.3">
      <c r="A207" s="1">
        <v>100220</v>
      </c>
      <c r="B207" s="2">
        <v>45862</v>
      </c>
      <c r="C207" s="1" t="s">
        <v>258</v>
      </c>
      <c r="D207" s="1" t="s">
        <v>42</v>
      </c>
      <c r="E207" s="1" t="s">
        <v>25</v>
      </c>
      <c r="F207" s="1" t="s">
        <v>1239</v>
      </c>
      <c r="G207" s="1" t="s">
        <v>64</v>
      </c>
      <c r="H207" s="1">
        <v>2</v>
      </c>
      <c r="I207" s="1">
        <f>Table1[[#This Row],[Units_Sold]]*Table1[[#This Row],[Unit_Price]]</f>
        <v>308.38</v>
      </c>
      <c r="J207" s="1">
        <v>154.19</v>
      </c>
      <c r="K207" s="1">
        <v>5</v>
      </c>
      <c r="L207" s="1">
        <v>292.95999999999998</v>
      </c>
      <c r="M207" s="1">
        <v>87.6</v>
      </c>
      <c r="N207" s="1">
        <v>41</v>
      </c>
      <c r="O207" s="1" t="s">
        <v>26</v>
      </c>
      <c r="P207" s="1" t="s">
        <v>32</v>
      </c>
    </row>
    <row r="208" spans="1:16" x14ac:dyDescent="0.3">
      <c r="A208" s="1">
        <v>100788</v>
      </c>
      <c r="B208" s="2">
        <v>45443</v>
      </c>
      <c r="C208" s="1" t="s">
        <v>259</v>
      </c>
      <c r="D208" s="1" t="s">
        <v>100</v>
      </c>
      <c r="E208" s="1" t="s">
        <v>25</v>
      </c>
      <c r="F208" s="1" t="s">
        <v>1240</v>
      </c>
      <c r="G208" s="1" t="s">
        <v>31</v>
      </c>
      <c r="H208" s="1">
        <v>4</v>
      </c>
      <c r="I208" s="1">
        <f>Table1[[#This Row],[Units_Sold]]*Table1[[#This Row],[Unit_Price]]</f>
        <v>495.84</v>
      </c>
      <c r="J208" s="1">
        <v>123.96</v>
      </c>
      <c r="K208" s="1">
        <v>5</v>
      </c>
      <c r="L208" s="1">
        <v>471.05</v>
      </c>
      <c r="M208" s="1">
        <v>135.24</v>
      </c>
      <c r="N208" s="1">
        <v>36</v>
      </c>
      <c r="O208" s="1" t="s">
        <v>26</v>
      </c>
      <c r="P208" s="1" t="s">
        <v>81</v>
      </c>
    </row>
    <row r="209" spans="1:16" x14ac:dyDescent="0.3">
      <c r="A209" s="1">
        <v>100711</v>
      </c>
      <c r="B209" s="2">
        <v>45559</v>
      </c>
      <c r="C209" s="1" t="s">
        <v>260</v>
      </c>
      <c r="D209" s="1" t="s">
        <v>37</v>
      </c>
      <c r="E209" s="1" t="s">
        <v>17</v>
      </c>
      <c r="F209" s="1" t="s">
        <v>1241</v>
      </c>
      <c r="G209" s="1" t="s">
        <v>18</v>
      </c>
      <c r="H209" s="1">
        <v>3</v>
      </c>
      <c r="I209" s="1">
        <f>Table1[[#This Row],[Units_Sold]]*Table1[[#This Row],[Unit_Price]]</f>
        <v>218.64</v>
      </c>
      <c r="J209" s="1">
        <v>72.88</v>
      </c>
      <c r="K209" s="1">
        <v>5</v>
      </c>
      <c r="L209" s="1">
        <v>207.71</v>
      </c>
      <c r="M209" s="1">
        <v>68.010000000000005</v>
      </c>
      <c r="N209" s="1">
        <v>40</v>
      </c>
      <c r="O209" s="1" t="s">
        <v>19</v>
      </c>
      <c r="P209" s="1" t="s">
        <v>51</v>
      </c>
    </row>
    <row r="210" spans="1:16" x14ac:dyDescent="0.3">
      <c r="A210" s="1">
        <v>100713</v>
      </c>
      <c r="B210" s="2">
        <v>45252</v>
      </c>
      <c r="C210" s="1" t="s">
        <v>261</v>
      </c>
      <c r="D210" s="1" t="s">
        <v>100</v>
      </c>
      <c r="E210" s="1" t="s">
        <v>25</v>
      </c>
      <c r="F210" s="1" t="s">
        <v>1240</v>
      </c>
      <c r="G210" s="1" t="s">
        <v>48</v>
      </c>
      <c r="H210" s="1">
        <v>1</v>
      </c>
      <c r="I210" s="1">
        <f>Table1[[#This Row],[Units_Sold]]*Table1[[#This Row],[Unit_Price]]</f>
        <v>111.35</v>
      </c>
      <c r="J210" s="1">
        <v>111.35</v>
      </c>
      <c r="K210" s="1">
        <v>0</v>
      </c>
      <c r="L210" s="1">
        <v>111.35</v>
      </c>
      <c r="M210" s="1">
        <v>32.659999999999997</v>
      </c>
      <c r="N210" s="1">
        <v>33</v>
      </c>
      <c r="O210" s="1" t="s">
        <v>26</v>
      </c>
      <c r="P210" s="1" t="s">
        <v>35</v>
      </c>
    </row>
    <row r="211" spans="1:16" x14ac:dyDescent="0.3">
      <c r="A211" s="1">
        <v>101112</v>
      </c>
      <c r="B211" s="2">
        <v>45900</v>
      </c>
      <c r="C211" s="1" t="s">
        <v>262</v>
      </c>
      <c r="D211" s="1" t="s">
        <v>87</v>
      </c>
      <c r="E211" s="1" t="s">
        <v>25</v>
      </c>
      <c r="F211" s="1" t="s">
        <v>1237</v>
      </c>
      <c r="G211" s="1" t="s">
        <v>31</v>
      </c>
      <c r="H211" s="1">
        <v>2</v>
      </c>
      <c r="I211" s="1">
        <f>Table1[[#This Row],[Units_Sold]]*Table1[[#This Row],[Unit_Price]]</f>
        <v>186.06</v>
      </c>
      <c r="J211" s="1">
        <v>93.03</v>
      </c>
      <c r="K211" s="1">
        <v>5</v>
      </c>
      <c r="L211" s="1">
        <v>176.76</v>
      </c>
      <c r="M211" s="1">
        <v>56.59</v>
      </c>
      <c r="N211" s="1">
        <v>30</v>
      </c>
      <c r="O211" s="1" t="s">
        <v>19</v>
      </c>
      <c r="P211" s="1" t="s">
        <v>32</v>
      </c>
    </row>
    <row r="212" spans="1:16" x14ac:dyDescent="0.3">
      <c r="A212" s="1">
        <v>101190</v>
      </c>
      <c r="B212" s="2">
        <v>45284</v>
      </c>
      <c r="C212" s="1" t="s">
        <v>263</v>
      </c>
      <c r="D212" s="1" t="s">
        <v>56</v>
      </c>
      <c r="E212" s="1" t="s">
        <v>30</v>
      </c>
      <c r="F212" s="1" t="s">
        <v>1241</v>
      </c>
      <c r="G212" s="1" t="s">
        <v>31</v>
      </c>
      <c r="H212" s="1">
        <v>1</v>
      </c>
      <c r="I212" s="1">
        <f>Table1[[#This Row],[Units_Sold]]*Table1[[#This Row],[Unit_Price]]</f>
        <v>46.08</v>
      </c>
      <c r="J212" s="1">
        <v>46.08</v>
      </c>
      <c r="K212" s="1">
        <v>5</v>
      </c>
      <c r="L212" s="1">
        <v>43.78</v>
      </c>
      <c r="M212" s="1">
        <v>12.68</v>
      </c>
      <c r="N212" s="1">
        <v>28</v>
      </c>
      <c r="O212" s="1" t="s">
        <v>26</v>
      </c>
      <c r="P212" s="1" t="s">
        <v>43</v>
      </c>
    </row>
    <row r="213" spans="1:16" x14ac:dyDescent="0.3">
      <c r="A213" s="1">
        <v>100789</v>
      </c>
      <c r="B213" s="2">
        <v>45100</v>
      </c>
      <c r="C213" s="1" t="s">
        <v>264</v>
      </c>
      <c r="D213" s="1" t="s">
        <v>56</v>
      </c>
      <c r="E213" s="1" t="s">
        <v>30</v>
      </c>
      <c r="F213" s="1" t="s">
        <v>1238</v>
      </c>
      <c r="G213" s="1" t="s">
        <v>31</v>
      </c>
      <c r="H213" s="1">
        <v>1</v>
      </c>
      <c r="I213" s="1">
        <f>Table1[[#This Row],[Units_Sold]]*Table1[[#This Row],[Unit_Price]]</f>
        <v>45.53</v>
      </c>
      <c r="J213" s="1">
        <v>45.53</v>
      </c>
      <c r="K213" s="1">
        <v>5</v>
      </c>
      <c r="L213" s="1">
        <v>43.25</v>
      </c>
      <c r="M213" s="1">
        <v>14.41</v>
      </c>
      <c r="N213" s="1">
        <v>34</v>
      </c>
      <c r="O213" s="1" t="s">
        <v>26</v>
      </c>
      <c r="P213" s="1" t="s">
        <v>32</v>
      </c>
    </row>
    <row r="214" spans="1:16" x14ac:dyDescent="0.3">
      <c r="A214" s="1">
        <v>100415</v>
      </c>
      <c r="B214" s="2">
        <v>45798</v>
      </c>
      <c r="C214" s="1" t="s">
        <v>265</v>
      </c>
      <c r="D214" s="1" t="s">
        <v>70</v>
      </c>
      <c r="E214" s="1" t="s">
        <v>25</v>
      </c>
      <c r="F214" s="1" t="s">
        <v>1241</v>
      </c>
      <c r="G214" s="1" t="s">
        <v>31</v>
      </c>
      <c r="H214" s="1">
        <v>3</v>
      </c>
      <c r="I214" s="1">
        <f>Table1[[#This Row],[Units_Sold]]*Table1[[#This Row],[Unit_Price]]</f>
        <v>470.61</v>
      </c>
      <c r="J214" s="1">
        <v>156.87</v>
      </c>
      <c r="K214" s="1">
        <v>10</v>
      </c>
      <c r="L214" s="1">
        <v>423.55</v>
      </c>
      <c r="M214" s="1">
        <v>165.28</v>
      </c>
      <c r="N214" s="1">
        <v>28</v>
      </c>
      <c r="O214" s="1" t="s">
        <v>26</v>
      </c>
      <c r="P214" s="1" t="s">
        <v>46</v>
      </c>
    </row>
    <row r="215" spans="1:16" x14ac:dyDescent="0.3">
      <c r="A215" s="1">
        <v>100898</v>
      </c>
      <c r="B215" s="2">
        <v>45859</v>
      </c>
      <c r="C215" s="1" t="s">
        <v>266</v>
      </c>
      <c r="D215" s="1" t="s">
        <v>87</v>
      </c>
      <c r="E215" s="1" t="s">
        <v>25</v>
      </c>
      <c r="F215" s="1" t="s">
        <v>1237</v>
      </c>
      <c r="G215" s="1" t="s">
        <v>18</v>
      </c>
      <c r="H215" s="1">
        <v>3</v>
      </c>
      <c r="I215" s="1">
        <f>Table1[[#This Row],[Units_Sold]]*Table1[[#This Row],[Unit_Price]]</f>
        <v>237.45000000000002</v>
      </c>
      <c r="J215" s="1">
        <v>79.150000000000006</v>
      </c>
      <c r="K215" s="1">
        <v>10</v>
      </c>
      <c r="L215" s="1">
        <v>213.71</v>
      </c>
      <c r="M215" s="1">
        <v>55.45</v>
      </c>
      <c r="N215" s="1">
        <v>41</v>
      </c>
      <c r="O215" s="1" t="s">
        <v>19</v>
      </c>
      <c r="P215" s="1" t="s">
        <v>27</v>
      </c>
    </row>
    <row r="216" spans="1:16" x14ac:dyDescent="0.3">
      <c r="A216" s="1">
        <v>100934</v>
      </c>
      <c r="B216" s="2">
        <v>45381</v>
      </c>
      <c r="C216" s="1" t="s">
        <v>267</v>
      </c>
      <c r="D216" s="1" t="s">
        <v>70</v>
      </c>
      <c r="E216" s="1" t="s">
        <v>25</v>
      </c>
      <c r="F216" s="1" t="s">
        <v>1241</v>
      </c>
      <c r="G216" s="1" t="s">
        <v>18</v>
      </c>
      <c r="H216" s="1">
        <v>3</v>
      </c>
      <c r="I216" s="1">
        <f>Table1[[#This Row],[Units_Sold]]*Table1[[#This Row],[Unit_Price]]</f>
        <v>456.93</v>
      </c>
      <c r="J216" s="1">
        <v>152.31</v>
      </c>
      <c r="K216" s="1">
        <v>0</v>
      </c>
      <c r="L216" s="1">
        <v>456.93</v>
      </c>
      <c r="M216" s="1">
        <v>191.73</v>
      </c>
      <c r="N216" s="1">
        <v>22</v>
      </c>
      <c r="O216" s="1" t="s">
        <v>26</v>
      </c>
      <c r="P216" s="1" t="s">
        <v>51</v>
      </c>
    </row>
    <row r="217" spans="1:16" x14ac:dyDescent="0.3">
      <c r="A217" s="1">
        <v>100265</v>
      </c>
      <c r="B217" s="2">
        <v>45576</v>
      </c>
      <c r="C217" s="1" t="s">
        <v>268</v>
      </c>
      <c r="D217" s="1" t="s">
        <v>22</v>
      </c>
      <c r="E217" s="1" t="s">
        <v>17</v>
      </c>
      <c r="F217" s="1" t="s">
        <v>1238</v>
      </c>
      <c r="G217" s="1" t="s">
        <v>18</v>
      </c>
      <c r="H217" s="1">
        <v>2</v>
      </c>
      <c r="I217" s="1">
        <f>Table1[[#This Row],[Units_Sold]]*Table1[[#This Row],[Unit_Price]]</f>
        <v>54.64</v>
      </c>
      <c r="J217" s="1">
        <v>27.32</v>
      </c>
      <c r="K217" s="1">
        <v>0</v>
      </c>
      <c r="L217" s="1">
        <v>54.64</v>
      </c>
      <c r="M217" s="1">
        <v>16.23</v>
      </c>
      <c r="N217" s="1">
        <v>24</v>
      </c>
      <c r="O217" s="1" t="s">
        <v>19</v>
      </c>
      <c r="P217" s="1" t="s">
        <v>32</v>
      </c>
    </row>
    <row r="218" spans="1:16" x14ac:dyDescent="0.3">
      <c r="A218" s="1">
        <v>100631</v>
      </c>
      <c r="B218" s="2">
        <v>45390</v>
      </c>
      <c r="C218" s="1" t="s">
        <v>269</v>
      </c>
      <c r="D218" s="1" t="s">
        <v>45</v>
      </c>
      <c r="E218" s="1" t="s">
        <v>30</v>
      </c>
      <c r="F218" s="1" t="s">
        <v>1237</v>
      </c>
      <c r="G218" s="1" t="s">
        <v>18</v>
      </c>
      <c r="H218" s="1">
        <v>2</v>
      </c>
      <c r="I218" s="1">
        <f>Table1[[#This Row],[Units_Sold]]*Table1[[#This Row],[Unit_Price]]</f>
        <v>27.68</v>
      </c>
      <c r="J218" s="1">
        <v>13.84</v>
      </c>
      <c r="K218" s="1">
        <v>5</v>
      </c>
      <c r="L218" s="1">
        <v>26.3</v>
      </c>
      <c r="M218" s="1">
        <v>12.66</v>
      </c>
      <c r="N218" s="1">
        <v>39</v>
      </c>
      <c r="O218" s="1" t="s">
        <v>26</v>
      </c>
      <c r="P218" s="1" t="s">
        <v>43</v>
      </c>
    </row>
    <row r="219" spans="1:16" x14ac:dyDescent="0.3">
      <c r="A219" s="1">
        <v>100247</v>
      </c>
      <c r="B219" s="2">
        <v>45821</v>
      </c>
      <c r="C219" s="1" t="s">
        <v>270</v>
      </c>
      <c r="D219" s="1" t="s">
        <v>24</v>
      </c>
      <c r="E219" s="1" t="s">
        <v>25</v>
      </c>
      <c r="F219" s="1" t="s">
        <v>1237</v>
      </c>
      <c r="G219" s="1" t="s">
        <v>31</v>
      </c>
      <c r="H219" s="1">
        <v>5</v>
      </c>
      <c r="I219" s="1">
        <f>Table1[[#This Row],[Units_Sold]]*Table1[[#This Row],[Unit_Price]]</f>
        <v>461.59999999999997</v>
      </c>
      <c r="J219" s="1">
        <v>92.32</v>
      </c>
      <c r="K219" s="1">
        <v>20</v>
      </c>
      <c r="L219" s="1">
        <v>369.28</v>
      </c>
      <c r="M219" s="1">
        <v>110.32</v>
      </c>
      <c r="N219" s="1">
        <v>36</v>
      </c>
      <c r="O219" s="1" t="s">
        <v>19</v>
      </c>
      <c r="P219" s="1" t="s">
        <v>46</v>
      </c>
    </row>
    <row r="220" spans="1:16" x14ac:dyDescent="0.3">
      <c r="A220" s="1">
        <v>100682</v>
      </c>
      <c r="B220" s="2">
        <v>45665</v>
      </c>
      <c r="C220" s="1" t="s">
        <v>271</v>
      </c>
      <c r="D220" s="1" t="s">
        <v>29</v>
      </c>
      <c r="E220" s="1" t="s">
        <v>30</v>
      </c>
      <c r="F220" s="1" t="s">
        <v>1238</v>
      </c>
      <c r="G220" s="1" t="s">
        <v>18</v>
      </c>
      <c r="H220" s="1">
        <v>3</v>
      </c>
      <c r="I220" s="1">
        <f>Table1[[#This Row],[Units_Sold]]*Table1[[#This Row],[Unit_Price]]</f>
        <v>52.44</v>
      </c>
      <c r="J220" s="1">
        <v>17.48</v>
      </c>
      <c r="K220" s="1">
        <v>0</v>
      </c>
      <c r="L220" s="1">
        <v>52.44</v>
      </c>
      <c r="M220" s="1">
        <v>14.63</v>
      </c>
      <c r="N220" s="1">
        <v>28</v>
      </c>
      <c r="O220" s="1" t="s">
        <v>19</v>
      </c>
      <c r="P220" s="1" t="s">
        <v>43</v>
      </c>
    </row>
    <row r="221" spans="1:16" x14ac:dyDescent="0.3">
      <c r="A221" s="1">
        <v>100558</v>
      </c>
      <c r="B221" s="2">
        <v>45675</v>
      </c>
      <c r="C221" s="1" t="s">
        <v>272</v>
      </c>
      <c r="D221" s="1" t="s">
        <v>77</v>
      </c>
      <c r="E221" s="1" t="s">
        <v>30</v>
      </c>
      <c r="F221" s="1" t="s">
        <v>1237</v>
      </c>
      <c r="G221" s="1" t="s">
        <v>64</v>
      </c>
      <c r="H221" s="1">
        <v>1</v>
      </c>
      <c r="I221" s="1">
        <f>Table1[[#This Row],[Units_Sold]]*Table1[[#This Row],[Unit_Price]]</f>
        <v>44.85</v>
      </c>
      <c r="J221" s="1">
        <v>44.85</v>
      </c>
      <c r="K221" s="1">
        <v>5</v>
      </c>
      <c r="L221" s="1">
        <v>42.61</v>
      </c>
      <c r="M221" s="1">
        <v>15.86</v>
      </c>
      <c r="N221" s="1">
        <v>33</v>
      </c>
      <c r="O221" s="1" t="s">
        <v>26</v>
      </c>
      <c r="P221" s="1" t="s">
        <v>32</v>
      </c>
    </row>
    <row r="222" spans="1:16" x14ac:dyDescent="0.3">
      <c r="A222" s="1">
        <v>101136</v>
      </c>
      <c r="B222" s="2">
        <v>45625</v>
      </c>
      <c r="C222" s="1" t="s">
        <v>273</v>
      </c>
      <c r="D222" s="1" t="s">
        <v>34</v>
      </c>
      <c r="E222" s="1" t="s">
        <v>30</v>
      </c>
      <c r="F222" s="1" t="s">
        <v>1238</v>
      </c>
      <c r="G222" s="1" t="s">
        <v>18</v>
      </c>
      <c r="H222" s="1">
        <v>2</v>
      </c>
      <c r="I222" s="1">
        <f>Table1[[#This Row],[Units_Sold]]*Table1[[#This Row],[Unit_Price]]</f>
        <v>109.2</v>
      </c>
      <c r="J222" s="1">
        <v>54.6</v>
      </c>
      <c r="K222" s="1">
        <v>5</v>
      </c>
      <c r="L222" s="1">
        <v>103.74</v>
      </c>
      <c r="M222" s="1">
        <v>26.29</v>
      </c>
      <c r="N222" s="1">
        <v>27</v>
      </c>
      <c r="O222" s="1" t="s">
        <v>19</v>
      </c>
      <c r="P222" s="1" t="s">
        <v>46</v>
      </c>
    </row>
    <row r="223" spans="1:16" x14ac:dyDescent="0.3">
      <c r="A223" s="1">
        <v>100967</v>
      </c>
      <c r="B223" s="2">
        <v>45423</v>
      </c>
      <c r="C223" s="1" t="s">
        <v>274</v>
      </c>
      <c r="D223" s="1" t="s">
        <v>87</v>
      </c>
      <c r="E223" s="1" t="s">
        <v>25</v>
      </c>
      <c r="F223" s="1" t="s">
        <v>1241</v>
      </c>
      <c r="G223" s="1" t="s">
        <v>64</v>
      </c>
      <c r="H223" s="1">
        <v>3</v>
      </c>
      <c r="I223" s="1">
        <f>Table1[[#This Row],[Units_Sold]]*Table1[[#This Row],[Unit_Price]]</f>
        <v>241.23</v>
      </c>
      <c r="J223" s="1">
        <v>80.41</v>
      </c>
      <c r="K223" s="1">
        <v>10</v>
      </c>
      <c r="L223" s="1">
        <v>217.11</v>
      </c>
      <c r="M223" s="1">
        <v>73.760000000000005</v>
      </c>
      <c r="N223" s="1">
        <v>37</v>
      </c>
      <c r="O223" s="1" t="s">
        <v>19</v>
      </c>
      <c r="P223" s="1" t="s">
        <v>81</v>
      </c>
    </row>
    <row r="224" spans="1:16" x14ac:dyDescent="0.3">
      <c r="A224" s="1">
        <v>101004</v>
      </c>
      <c r="B224" s="2">
        <v>45631</v>
      </c>
      <c r="C224" s="1" t="s">
        <v>275</v>
      </c>
      <c r="D224" s="1" t="s">
        <v>87</v>
      </c>
      <c r="E224" s="1" t="s">
        <v>25</v>
      </c>
      <c r="F224" s="1" t="s">
        <v>1241</v>
      </c>
      <c r="G224" s="1" t="s">
        <v>18</v>
      </c>
      <c r="H224" s="1">
        <v>4</v>
      </c>
      <c r="I224" s="1">
        <f>Table1[[#This Row],[Units_Sold]]*Table1[[#This Row],[Unit_Price]]</f>
        <v>334.84</v>
      </c>
      <c r="J224" s="1">
        <v>83.71</v>
      </c>
      <c r="K224" s="1">
        <v>0</v>
      </c>
      <c r="L224" s="1">
        <v>334.84</v>
      </c>
      <c r="M224" s="1">
        <v>75.38</v>
      </c>
      <c r="N224" s="1">
        <v>20</v>
      </c>
      <c r="O224" s="1" t="s">
        <v>26</v>
      </c>
      <c r="P224" s="1" t="s">
        <v>51</v>
      </c>
    </row>
    <row r="225" spans="1:16" x14ac:dyDescent="0.3">
      <c r="A225" s="1">
        <v>100984</v>
      </c>
      <c r="B225" s="2">
        <v>44936</v>
      </c>
      <c r="C225" s="1" t="s">
        <v>276</v>
      </c>
      <c r="D225" s="1" t="s">
        <v>45</v>
      </c>
      <c r="E225" s="1" t="s">
        <v>30</v>
      </c>
      <c r="F225" s="1" t="s">
        <v>1238</v>
      </c>
      <c r="G225" s="1" t="s">
        <v>48</v>
      </c>
      <c r="H225" s="1">
        <v>3</v>
      </c>
      <c r="I225" s="1">
        <f>Table1[[#This Row],[Units_Sold]]*Table1[[#This Row],[Unit_Price]]</f>
        <v>42.06</v>
      </c>
      <c r="J225" s="1">
        <v>14.02</v>
      </c>
      <c r="K225" s="1">
        <v>0</v>
      </c>
      <c r="L225" s="1">
        <v>42.06</v>
      </c>
      <c r="M225" s="1">
        <v>12.7</v>
      </c>
      <c r="N225" s="1">
        <v>40</v>
      </c>
      <c r="O225" s="1" t="s">
        <v>26</v>
      </c>
      <c r="P225" s="1" t="s">
        <v>51</v>
      </c>
    </row>
    <row r="226" spans="1:16" x14ac:dyDescent="0.3">
      <c r="A226" s="1">
        <v>100294</v>
      </c>
      <c r="B226" s="2">
        <v>45126</v>
      </c>
      <c r="C226" s="1" t="s">
        <v>277</v>
      </c>
      <c r="D226" s="1" t="s">
        <v>62</v>
      </c>
      <c r="E226" s="1" t="s">
        <v>17</v>
      </c>
      <c r="F226" s="1" t="s">
        <v>1238</v>
      </c>
      <c r="G226" s="1" t="s">
        <v>31</v>
      </c>
      <c r="H226" s="1">
        <v>3</v>
      </c>
      <c r="I226" s="1">
        <f>Table1[[#This Row],[Units_Sold]]*Table1[[#This Row],[Unit_Price]]</f>
        <v>390.51</v>
      </c>
      <c r="J226" s="1">
        <v>130.16999999999999</v>
      </c>
      <c r="K226" s="1">
        <v>0</v>
      </c>
      <c r="L226" s="1">
        <v>390.51</v>
      </c>
      <c r="M226" s="1">
        <v>89.97</v>
      </c>
      <c r="N226" s="1">
        <v>27</v>
      </c>
      <c r="O226" s="1" t="s">
        <v>19</v>
      </c>
      <c r="P226" s="1" t="s">
        <v>32</v>
      </c>
    </row>
    <row r="227" spans="1:16" x14ac:dyDescent="0.3">
      <c r="A227" s="1">
        <v>100519</v>
      </c>
      <c r="B227" s="2">
        <v>45886</v>
      </c>
      <c r="C227" s="1" t="s">
        <v>278</v>
      </c>
      <c r="D227" s="1" t="s">
        <v>53</v>
      </c>
      <c r="E227" s="1" t="s">
        <v>30</v>
      </c>
      <c r="F227" s="1" t="s">
        <v>1241</v>
      </c>
      <c r="G227" s="1" t="s">
        <v>18</v>
      </c>
      <c r="H227" s="1">
        <v>2</v>
      </c>
      <c r="I227" s="1">
        <f>Table1[[#This Row],[Units_Sold]]*Table1[[#This Row],[Unit_Price]]</f>
        <v>41.52</v>
      </c>
      <c r="J227" s="1">
        <v>20.76</v>
      </c>
      <c r="K227" s="1">
        <v>0</v>
      </c>
      <c r="L227" s="1">
        <v>41.52</v>
      </c>
      <c r="M227" s="1">
        <v>8.75</v>
      </c>
      <c r="N227" s="1">
        <v>26</v>
      </c>
      <c r="O227" s="1" t="s">
        <v>19</v>
      </c>
      <c r="P227" s="1" t="s">
        <v>27</v>
      </c>
    </row>
    <row r="228" spans="1:16" x14ac:dyDescent="0.3">
      <c r="A228" s="1">
        <v>100770</v>
      </c>
      <c r="B228" s="2">
        <v>45659</v>
      </c>
      <c r="C228" s="1" t="s">
        <v>279</v>
      </c>
      <c r="D228" s="1" t="s">
        <v>59</v>
      </c>
      <c r="E228" s="1" t="s">
        <v>17</v>
      </c>
      <c r="F228" s="1" t="s">
        <v>1241</v>
      </c>
      <c r="G228" s="1" t="s">
        <v>64</v>
      </c>
      <c r="H228" s="1">
        <v>2</v>
      </c>
      <c r="I228" s="1">
        <f>Table1[[#This Row],[Units_Sold]]*Table1[[#This Row],[Unit_Price]]</f>
        <v>59.3</v>
      </c>
      <c r="J228" s="1">
        <v>29.65</v>
      </c>
      <c r="K228" s="1">
        <v>0</v>
      </c>
      <c r="L228" s="1">
        <v>59.3</v>
      </c>
      <c r="M228" s="1">
        <v>15.46</v>
      </c>
      <c r="N228" s="1">
        <v>20</v>
      </c>
      <c r="O228" s="1" t="s">
        <v>19</v>
      </c>
      <c r="P228" s="1" t="s">
        <v>81</v>
      </c>
    </row>
    <row r="229" spans="1:16" x14ac:dyDescent="0.3">
      <c r="A229" s="1">
        <v>100083</v>
      </c>
      <c r="B229" s="2">
        <v>45362</v>
      </c>
      <c r="C229" s="1" t="s">
        <v>280</v>
      </c>
      <c r="D229" s="1" t="s">
        <v>87</v>
      </c>
      <c r="E229" s="1" t="s">
        <v>25</v>
      </c>
      <c r="F229" s="1" t="s">
        <v>1237</v>
      </c>
      <c r="G229" s="1" t="s">
        <v>48</v>
      </c>
      <c r="H229" s="1">
        <v>3</v>
      </c>
      <c r="I229" s="1">
        <f>Table1[[#This Row],[Units_Sold]]*Table1[[#This Row],[Unit_Price]]</f>
        <v>261.75</v>
      </c>
      <c r="J229" s="1">
        <v>87.25</v>
      </c>
      <c r="K229" s="1">
        <v>0</v>
      </c>
      <c r="L229" s="1">
        <v>261.75</v>
      </c>
      <c r="M229" s="1">
        <v>56.23</v>
      </c>
      <c r="N229" s="1">
        <v>29</v>
      </c>
      <c r="O229" s="1" t="s">
        <v>19</v>
      </c>
      <c r="P229" s="1" t="s">
        <v>27</v>
      </c>
    </row>
    <row r="230" spans="1:16" x14ac:dyDescent="0.3">
      <c r="A230" s="1">
        <v>100231</v>
      </c>
      <c r="B230" s="2">
        <v>45095</v>
      </c>
      <c r="C230" s="1" t="s">
        <v>281</v>
      </c>
      <c r="D230" s="1" t="s">
        <v>66</v>
      </c>
      <c r="E230" s="1" t="s">
        <v>17</v>
      </c>
      <c r="F230" s="1" t="s">
        <v>1238</v>
      </c>
      <c r="G230" s="1" t="s">
        <v>31</v>
      </c>
      <c r="H230" s="1">
        <v>2</v>
      </c>
      <c r="I230" s="1">
        <f>Table1[[#This Row],[Units_Sold]]*Table1[[#This Row],[Unit_Price]]</f>
        <v>281.18</v>
      </c>
      <c r="J230" s="1">
        <v>140.59</v>
      </c>
      <c r="K230" s="1">
        <v>0</v>
      </c>
      <c r="L230" s="1">
        <v>281.18</v>
      </c>
      <c r="M230" s="1">
        <v>89.42</v>
      </c>
      <c r="N230" s="1">
        <v>33</v>
      </c>
      <c r="O230" s="1" t="s">
        <v>19</v>
      </c>
      <c r="P230" s="1" t="s">
        <v>46</v>
      </c>
    </row>
    <row r="231" spans="1:16" x14ac:dyDescent="0.3">
      <c r="A231" s="1">
        <v>100620</v>
      </c>
      <c r="B231" s="2">
        <v>44956</v>
      </c>
      <c r="C231" s="1" t="s">
        <v>282</v>
      </c>
      <c r="D231" s="1" t="s">
        <v>53</v>
      </c>
      <c r="E231" s="1" t="s">
        <v>30</v>
      </c>
      <c r="F231" s="1" t="s">
        <v>1241</v>
      </c>
      <c r="G231" s="1" t="s">
        <v>18</v>
      </c>
      <c r="H231" s="1">
        <v>1</v>
      </c>
      <c r="I231" s="1">
        <f>Table1[[#This Row],[Units_Sold]]*Table1[[#This Row],[Unit_Price]]</f>
        <v>23.97</v>
      </c>
      <c r="J231" s="1">
        <v>23.97</v>
      </c>
      <c r="K231" s="1">
        <v>0</v>
      </c>
      <c r="L231" s="1">
        <v>23.97</v>
      </c>
      <c r="M231" s="1">
        <v>11.8</v>
      </c>
      <c r="N231" s="1">
        <v>39</v>
      </c>
      <c r="O231" s="1" t="s">
        <v>26</v>
      </c>
      <c r="P231" s="1" t="s">
        <v>32</v>
      </c>
    </row>
    <row r="232" spans="1:16" x14ac:dyDescent="0.3">
      <c r="A232" s="1">
        <v>100333</v>
      </c>
      <c r="B232" s="2">
        <v>45704</v>
      </c>
      <c r="C232" s="1" t="s">
        <v>283</v>
      </c>
      <c r="D232" s="1" t="s">
        <v>62</v>
      </c>
      <c r="E232" s="1" t="s">
        <v>17</v>
      </c>
      <c r="F232" s="1" t="s">
        <v>1237</v>
      </c>
      <c r="G232" s="1" t="s">
        <v>18</v>
      </c>
      <c r="H232" s="1">
        <v>5</v>
      </c>
      <c r="I232" s="1">
        <f>Table1[[#This Row],[Units_Sold]]*Table1[[#This Row],[Unit_Price]]</f>
        <v>680.3</v>
      </c>
      <c r="J232" s="1">
        <v>136.06</v>
      </c>
      <c r="K232" s="1">
        <v>0</v>
      </c>
      <c r="L232" s="1">
        <v>680.3</v>
      </c>
      <c r="M232" s="1">
        <v>257.42</v>
      </c>
      <c r="N232" s="1">
        <v>35</v>
      </c>
      <c r="O232" s="1" t="s">
        <v>26</v>
      </c>
      <c r="P232" s="1" t="s">
        <v>51</v>
      </c>
    </row>
    <row r="233" spans="1:16" x14ac:dyDescent="0.3">
      <c r="A233" s="1">
        <v>100129</v>
      </c>
      <c r="B233" s="2">
        <v>45836</v>
      </c>
      <c r="C233" s="1" t="s">
        <v>284</v>
      </c>
      <c r="D233" s="1" t="s">
        <v>37</v>
      </c>
      <c r="E233" s="1" t="s">
        <v>17</v>
      </c>
      <c r="F233" s="1" t="s">
        <v>1237</v>
      </c>
      <c r="G233" s="1" t="s">
        <v>18</v>
      </c>
      <c r="H233" s="1">
        <v>2</v>
      </c>
      <c r="I233" s="1">
        <f>Table1[[#This Row],[Units_Sold]]*Table1[[#This Row],[Unit_Price]]</f>
        <v>131.34</v>
      </c>
      <c r="J233" s="1">
        <v>65.67</v>
      </c>
      <c r="K233" s="1">
        <v>5</v>
      </c>
      <c r="L233" s="1">
        <v>124.77</v>
      </c>
      <c r="M233" s="1">
        <v>29.66</v>
      </c>
      <c r="N233" s="1">
        <v>24</v>
      </c>
      <c r="O233" s="1" t="s">
        <v>19</v>
      </c>
      <c r="P233" s="1" t="s">
        <v>43</v>
      </c>
    </row>
    <row r="234" spans="1:16" x14ac:dyDescent="0.3">
      <c r="A234" s="1">
        <v>101011</v>
      </c>
      <c r="B234" s="2">
        <v>45529</v>
      </c>
      <c r="C234" s="1" t="s">
        <v>285</v>
      </c>
      <c r="D234" s="1" t="s">
        <v>53</v>
      </c>
      <c r="E234" s="1" t="s">
        <v>30</v>
      </c>
      <c r="F234" s="1" t="s">
        <v>1238</v>
      </c>
      <c r="G234" s="1" t="s">
        <v>31</v>
      </c>
      <c r="H234" s="1">
        <v>2</v>
      </c>
      <c r="I234" s="1">
        <f>Table1[[#This Row],[Units_Sold]]*Table1[[#This Row],[Unit_Price]]</f>
        <v>41.14</v>
      </c>
      <c r="J234" s="1">
        <v>20.57</v>
      </c>
      <c r="K234" s="1">
        <v>10</v>
      </c>
      <c r="L234" s="1">
        <v>37.03</v>
      </c>
      <c r="M234" s="1">
        <v>13.01</v>
      </c>
      <c r="N234" s="1">
        <v>19</v>
      </c>
      <c r="O234" s="1" t="s">
        <v>26</v>
      </c>
      <c r="P234" s="1" t="s">
        <v>20</v>
      </c>
    </row>
    <row r="235" spans="1:16" x14ac:dyDescent="0.3">
      <c r="A235" s="1">
        <v>100644</v>
      </c>
      <c r="B235" s="2">
        <v>45519</v>
      </c>
      <c r="C235" s="1" t="s">
        <v>286</v>
      </c>
      <c r="D235" s="1" t="s">
        <v>42</v>
      </c>
      <c r="E235" s="1" t="s">
        <v>25</v>
      </c>
      <c r="F235" s="1" t="s">
        <v>1237</v>
      </c>
      <c r="G235" s="1" t="s">
        <v>18</v>
      </c>
      <c r="H235" s="1">
        <v>3</v>
      </c>
      <c r="I235" s="1">
        <f>Table1[[#This Row],[Units_Sold]]*Table1[[#This Row],[Unit_Price]]</f>
        <v>485.40000000000003</v>
      </c>
      <c r="J235" s="1">
        <v>161.80000000000001</v>
      </c>
      <c r="K235" s="1">
        <v>0</v>
      </c>
      <c r="L235" s="1">
        <v>485.4</v>
      </c>
      <c r="M235" s="1">
        <v>184.18</v>
      </c>
      <c r="N235" s="1">
        <v>20</v>
      </c>
      <c r="O235" s="1" t="s">
        <v>19</v>
      </c>
      <c r="P235" s="1" t="s">
        <v>81</v>
      </c>
    </row>
    <row r="236" spans="1:16" x14ac:dyDescent="0.3">
      <c r="A236" s="1">
        <v>100973</v>
      </c>
      <c r="B236" s="2">
        <v>45821</v>
      </c>
      <c r="C236" s="1" t="s">
        <v>287</v>
      </c>
      <c r="D236" s="1" t="s">
        <v>70</v>
      </c>
      <c r="E236" s="1" t="s">
        <v>25</v>
      </c>
      <c r="F236" s="1" t="s">
        <v>1237</v>
      </c>
      <c r="G236" s="1" t="s">
        <v>31</v>
      </c>
      <c r="H236" s="1">
        <v>3</v>
      </c>
      <c r="I236" s="1">
        <f>Table1[[#This Row],[Units_Sold]]*Table1[[#This Row],[Unit_Price]]</f>
        <v>428.70000000000005</v>
      </c>
      <c r="J236" s="1">
        <v>142.9</v>
      </c>
      <c r="K236" s="1">
        <v>0</v>
      </c>
      <c r="L236" s="1">
        <v>428.7</v>
      </c>
      <c r="M236" s="1">
        <v>137.94999999999999</v>
      </c>
      <c r="N236" s="1">
        <v>34</v>
      </c>
      <c r="O236" s="1" t="s">
        <v>26</v>
      </c>
      <c r="P236" s="1" t="s">
        <v>46</v>
      </c>
    </row>
    <row r="237" spans="1:16" x14ac:dyDescent="0.3">
      <c r="A237" s="1">
        <v>100382</v>
      </c>
      <c r="B237" s="2">
        <v>45767</v>
      </c>
      <c r="C237" s="1" t="s">
        <v>288</v>
      </c>
      <c r="D237" s="1" t="s">
        <v>70</v>
      </c>
      <c r="E237" s="1" t="s">
        <v>25</v>
      </c>
      <c r="F237" s="1" t="s">
        <v>1241</v>
      </c>
      <c r="G237" s="1" t="s">
        <v>18</v>
      </c>
      <c r="H237" s="1">
        <v>4</v>
      </c>
      <c r="I237" s="1">
        <f>Table1[[#This Row],[Units_Sold]]*Table1[[#This Row],[Unit_Price]]</f>
        <v>640.48</v>
      </c>
      <c r="J237" s="1">
        <v>160.12</v>
      </c>
      <c r="K237" s="1">
        <v>0</v>
      </c>
      <c r="L237" s="1">
        <v>640.48</v>
      </c>
      <c r="M237" s="1">
        <v>210.06</v>
      </c>
      <c r="N237" s="1">
        <v>24</v>
      </c>
      <c r="O237" s="1" t="s">
        <v>26</v>
      </c>
      <c r="P237" s="1" t="s">
        <v>35</v>
      </c>
    </row>
    <row r="238" spans="1:16" x14ac:dyDescent="0.3">
      <c r="A238" s="1">
        <v>100867</v>
      </c>
      <c r="B238" s="2">
        <v>45142</v>
      </c>
      <c r="C238" s="1" t="s">
        <v>289</v>
      </c>
      <c r="D238" s="1" t="s">
        <v>100</v>
      </c>
      <c r="E238" s="1" t="s">
        <v>25</v>
      </c>
      <c r="F238" s="1" t="s">
        <v>1237</v>
      </c>
      <c r="G238" s="1" t="s">
        <v>48</v>
      </c>
      <c r="H238" s="1">
        <v>3</v>
      </c>
      <c r="I238" s="1">
        <f>Table1[[#This Row],[Units_Sold]]*Table1[[#This Row],[Unit_Price]]</f>
        <v>414.09000000000003</v>
      </c>
      <c r="J238" s="1">
        <v>138.03</v>
      </c>
      <c r="K238" s="1">
        <v>0</v>
      </c>
      <c r="L238" s="1">
        <v>414.09</v>
      </c>
      <c r="M238" s="1">
        <v>137.47999999999999</v>
      </c>
      <c r="N238" s="1">
        <v>19</v>
      </c>
      <c r="O238" s="1" t="s">
        <v>19</v>
      </c>
      <c r="P238" s="1" t="s">
        <v>20</v>
      </c>
    </row>
    <row r="239" spans="1:16" x14ac:dyDescent="0.3">
      <c r="A239" s="1">
        <v>100542</v>
      </c>
      <c r="B239" s="2">
        <v>45387</v>
      </c>
      <c r="C239" s="1" t="s">
        <v>290</v>
      </c>
      <c r="D239" s="1" t="s">
        <v>16</v>
      </c>
      <c r="E239" s="1" t="s">
        <v>17</v>
      </c>
      <c r="F239" s="1" t="s">
        <v>1238</v>
      </c>
      <c r="G239" s="1" t="s">
        <v>31</v>
      </c>
      <c r="H239" s="1">
        <v>3</v>
      </c>
      <c r="I239" s="1">
        <f>Table1[[#This Row],[Units_Sold]]*Table1[[#This Row],[Unit_Price]]</f>
        <v>157.47</v>
      </c>
      <c r="J239" s="1">
        <v>52.49</v>
      </c>
      <c r="K239" s="1">
        <v>0</v>
      </c>
      <c r="L239" s="1">
        <v>157.47</v>
      </c>
      <c r="M239" s="1">
        <v>47.2</v>
      </c>
      <c r="N239" s="1">
        <v>39</v>
      </c>
      <c r="O239" s="1" t="s">
        <v>19</v>
      </c>
      <c r="P239" s="1" t="s">
        <v>32</v>
      </c>
    </row>
    <row r="240" spans="1:16" x14ac:dyDescent="0.3">
      <c r="A240" s="1">
        <v>101193</v>
      </c>
      <c r="B240" s="2">
        <v>45799</v>
      </c>
      <c r="C240" s="1" t="s">
        <v>291</v>
      </c>
      <c r="D240" s="1" t="s">
        <v>42</v>
      </c>
      <c r="E240" s="1" t="s">
        <v>25</v>
      </c>
      <c r="F240" s="1" t="s">
        <v>1237</v>
      </c>
      <c r="G240" s="1" t="s">
        <v>31</v>
      </c>
      <c r="H240" s="1">
        <v>3</v>
      </c>
      <c r="I240" s="1">
        <f>Table1[[#This Row],[Units_Sold]]*Table1[[#This Row],[Unit_Price]]</f>
        <v>470.97</v>
      </c>
      <c r="J240" s="1">
        <v>156.99</v>
      </c>
      <c r="K240" s="1">
        <v>20</v>
      </c>
      <c r="L240" s="1">
        <v>376.78</v>
      </c>
      <c r="M240" s="1">
        <v>142.68</v>
      </c>
      <c r="N240" s="1">
        <v>25</v>
      </c>
      <c r="O240" s="1" t="s">
        <v>19</v>
      </c>
      <c r="P240" s="1" t="s">
        <v>43</v>
      </c>
    </row>
    <row r="241" spans="1:16" x14ac:dyDescent="0.3">
      <c r="A241" s="1">
        <v>100874</v>
      </c>
      <c r="B241" s="2">
        <v>45431</v>
      </c>
      <c r="C241" s="1" t="s">
        <v>292</v>
      </c>
      <c r="D241" s="1" t="s">
        <v>100</v>
      </c>
      <c r="E241" s="1" t="s">
        <v>25</v>
      </c>
      <c r="F241" s="1" t="s">
        <v>1241</v>
      </c>
      <c r="G241" s="1" t="s">
        <v>48</v>
      </c>
      <c r="H241" s="1">
        <v>4</v>
      </c>
      <c r="I241" s="1">
        <f>Table1[[#This Row],[Units_Sold]]*Table1[[#This Row],[Unit_Price]]</f>
        <v>539.96</v>
      </c>
      <c r="J241" s="1">
        <v>134.99</v>
      </c>
      <c r="K241" s="1">
        <v>20</v>
      </c>
      <c r="L241" s="1">
        <v>431.97</v>
      </c>
      <c r="M241" s="1">
        <v>106.8</v>
      </c>
      <c r="N241" s="1">
        <v>36</v>
      </c>
      <c r="O241" s="1" t="s">
        <v>26</v>
      </c>
      <c r="P241" s="1" t="s">
        <v>20</v>
      </c>
    </row>
    <row r="242" spans="1:16" x14ac:dyDescent="0.3">
      <c r="A242" s="1">
        <v>100331</v>
      </c>
      <c r="B242" s="2">
        <v>45304</v>
      </c>
      <c r="C242" s="1" t="s">
        <v>293</v>
      </c>
      <c r="D242" s="1" t="s">
        <v>77</v>
      </c>
      <c r="E242" s="1" t="s">
        <v>30</v>
      </c>
      <c r="F242" s="1" t="s">
        <v>1240</v>
      </c>
      <c r="G242" s="1" t="s">
        <v>31</v>
      </c>
      <c r="H242" s="1">
        <v>1</v>
      </c>
      <c r="I242" s="1">
        <f>Table1[[#This Row],[Units_Sold]]*Table1[[#This Row],[Unit_Price]]</f>
        <v>43.72</v>
      </c>
      <c r="J242" s="1">
        <v>43.72</v>
      </c>
      <c r="K242" s="1">
        <v>0</v>
      </c>
      <c r="L242" s="1">
        <v>43.72</v>
      </c>
      <c r="M242" s="1">
        <v>17.41</v>
      </c>
      <c r="N242" s="1">
        <v>34</v>
      </c>
      <c r="O242" s="1" t="s">
        <v>19</v>
      </c>
      <c r="P242" s="1" t="s">
        <v>51</v>
      </c>
    </row>
    <row r="243" spans="1:16" x14ac:dyDescent="0.3">
      <c r="A243" s="1">
        <v>100409</v>
      </c>
      <c r="B243" s="2">
        <v>45604</v>
      </c>
      <c r="C243" s="1" t="s">
        <v>294</v>
      </c>
      <c r="D243" s="1" t="s">
        <v>87</v>
      </c>
      <c r="E243" s="1" t="s">
        <v>25</v>
      </c>
      <c r="F243" s="1" t="s">
        <v>1241</v>
      </c>
      <c r="G243" s="1" t="s">
        <v>31</v>
      </c>
      <c r="H243" s="1">
        <v>4</v>
      </c>
      <c r="I243" s="1">
        <f>Table1[[#This Row],[Units_Sold]]*Table1[[#This Row],[Unit_Price]]</f>
        <v>352.68</v>
      </c>
      <c r="J243" s="1">
        <v>88.17</v>
      </c>
      <c r="K243" s="1">
        <v>0</v>
      </c>
      <c r="L243" s="1">
        <v>352.68</v>
      </c>
      <c r="M243" s="1">
        <v>91.08</v>
      </c>
      <c r="N243" s="1">
        <v>46</v>
      </c>
      <c r="O243" s="1" t="s">
        <v>26</v>
      </c>
      <c r="P243" s="1" t="s">
        <v>27</v>
      </c>
    </row>
    <row r="244" spans="1:16" x14ac:dyDescent="0.3">
      <c r="A244" s="1">
        <v>100076</v>
      </c>
      <c r="B244" s="2">
        <v>45924</v>
      </c>
      <c r="C244" s="1" t="s">
        <v>295</v>
      </c>
      <c r="D244" s="1" t="s">
        <v>70</v>
      </c>
      <c r="E244" s="1" t="s">
        <v>25</v>
      </c>
      <c r="F244" s="1" t="s">
        <v>1237</v>
      </c>
      <c r="G244" s="1" t="s">
        <v>18</v>
      </c>
      <c r="H244" s="1">
        <v>5</v>
      </c>
      <c r="I244" s="1">
        <f>Table1[[#This Row],[Units_Sold]]*Table1[[#This Row],[Unit_Price]]</f>
        <v>767.75</v>
      </c>
      <c r="J244" s="1">
        <v>153.55000000000001</v>
      </c>
      <c r="K244" s="1">
        <v>0</v>
      </c>
      <c r="L244" s="1">
        <v>767.75</v>
      </c>
      <c r="M244" s="1">
        <v>188.2</v>
      </c>
      <c r="N244" s="1">
        <v>17</v>
      </c>
      <c r="O244" s="1" t="s">
        <v>19</v>
      </c>
      <c r="P244" s="1" t="s">
        <v>46</v>
      </c>
    </row>
    <row r="245" spans="1:16" x14ac:dyDescent="0.3">
      <c r="A245" s="1">
        <v>100868</v>
      </c>
      <c r="B245" s="2">
        <v>45178</v>
      </c>
      <c r="C245" s="1" t="s">
        <v>296</v>
      </c>
      <c r="D245" s="1" t="s">
        <v>66</v>
      </c>
      <c r="E245" s="1" t="s">
        <v>17</v>
      </c>
      <c r="F245" s="1" t="s">
        <v>1238</v>
      </c>
      <c r="G245" s="1" t="s">
        <v>31</v>
      </c>
      <c r="H245" s="1">
        <v>4</v>
      </c>
      <c r="I245" s="1">
        <f>Table1[[#This Row],[Units_Sold]]*Table1[[#This Row],[Unit_Price]]</f>
        <v>468.2</v>
      </c>
      <c r="J245" s="1">
        <v>117.05</v>
      </c>
      <c r="K245" s="1">
        <v>5</v>
      </c>
      <c r="L245" s="1">
        <v>444.79</v>
      </c>
      <c r="M245" s="1">
        <v>156.59</v>
      </c>
      <c r="N245" s="1">
        <v>18</v>
      </c>
      <c r="O245" s="1" t="s">
        <v>26</v>
      </c>
      <c r="P245" s="1" t="s">
        <v>35</v>
      </c>
    </row>
    <row r="246" spans="1:16" x14ac:dyDescent="0.3">
      <c r="A246" s="1">
        <v>100138</v>
      </c>
      <c r="B246" s="2">
        <v>45205</v>
      </c>
      <c r="C246" s="1" t="s">
        <v>297</v>
      </c>
      <c r="D246" s="1" t="s">
        <v>29</v>
      </c>
      <c r="E246" s="1" t="s">
        <v>30</v>
      </c>
      <c r="F246" s="1" t="s">
        <v>1238</v>
      </c>
      <c r="G246" s="1" t="s">
        <v>18</v>
      </c>
      <c r="H246" s="1">
        <v>4</v>
      </c>
      <c r="I246" s="1">
        <f>Table1[[#This Row],[Units_Sold]]*Table1[[#This Row],[Unit_Price]]</f>
        <v>62.6</v>
      </c>
      <c r="J246" s="1">
        <v>15.65</v>
      </c>
      <c r="K246" s="1">
        <v>0</v>
      </c>
      <c r="L246" s="1">
        <v>62.6</v>
      </c>
      <c r="M246" s="1">
        <v>23.08</v>
      </c>
      <c r="N246" s="1">
        <v>42</v>
      </c>
      <c r="O246" s="1" t="s">
        <v>26</v>
      </c>
      <c r="P246" s="1" t="s">
        <v>27</v>
      </c>
    </row>
    <row r="247" spans="1:16" x14ac:dyDescent="0.3">
      <c r="A247" s="1">
        <v>100543</v>
      </c>
      <c r="B247" s="2">
        <v>45561</v>
      </c>
      <c r="C247" s="1" t="s">
        <v>298</v>
      </c>
      <c r="D247" s="1" t="s">
        <v>59</v>
      </c>
      <c r="E247" s="1" t="s">
        <v>17</v>
      </c>
      <c r="F247" s="1" t="s">
        <v>1241</v>
      </c>
      <c r="G247" s="1" t="s">
        <v>31</v>
      </c>
      <c r="H247" s="1">
        <v>3</v>
      </c>
      <c r="I247" s="1">
        <f>Table1[[#This Row],[Units_Sold]]*Table1[[#This Row],[Unit_Price]]</f>
        <v>86.49</v>
      </c>
      <c r="J247" s="1">
        <v>28.83</v>
      </c>
      <c r="K247" s="1">
        <v>0</v>
      </c>
      <c r="L247" s="1">
        <v>86.49</v>
      </c>
      <c r="M247" s="1">
        <v>20.420000000000002</v>
      </c>
      <c r="N247" s="1">
        <v>36</v>
      </c>
      <c r="O247" s="1" t="s">
        <v>19</v>
      </c>
      <c r="P247" s="1" t="s">
        <v>32</v>
      </c>
    </row>
    <row r="248" spans="1:16" x14ac:dyDescent="0.3">
      <c r="A248" s="1">
        <v>100673</v>
      </c>
      <c r="B248" s="2">
        <v>45709</v>
      </c>
      <c r="C248" s="1" t="s">
        <v>299</v>
      </c>
      <c r="D248" s="1" t="s">
        <v>70</v>
      </c>
      <c r="E248" s="1" t="s">
        <v>25</v>
      </c>
      <c r="F248" s="1" t="s">
        <v>1238</v>
      </c>
      <c r="G248" s="1" t="s">
        <v>18</v>
      </c>
      <c r="H248" s="1">
        <v>2</v>
      </c>
      <c r="I248" s="1">
        <f>Table1[[#This Row],[Units_Sold]]*Table1[[#This Row],[Unit_Price]]</f>
        <v>294.54000000000002</v>
      </c>
      <c r="J248" s="1">
        <v>147.27000000000001</v>
      </c>
      <c r="K248" s="1">
        <v>0</v>
      </c>
      <c r="L248" s="1">
        <v>294.54000000000002</v>
      </c>
      <c r="M248" s="1">
        <v>118.55</v>
      </c>
      <c r="N248" s="1">
        <v>30</v>
      </c>
      <c r="O248" s="1" t="s">
        <v>26</v>
      </c>
      <c r="P248" s="1" t="s">
        <v>32</v>
      </c>
    </row>
    <row r="249" spans="1:16" x14ac:dyDescent="0.3">
      <c r="A249" s="1">
        <v>100920</v>
      </c>
      <c r="B249" s="2">
        <v>45102</v>
      </c>
      <c r="C249" s="1" t="s">
        <v>300</v>
      </c>
      <c r="D249" s="1" t="s">
        <v>66</v>
      </c>
      <c r="E249" s="1" t="s">
        <v>17</v>
      </c>
      <c r="F249" s="1" t="s">
        <v>1238</v>
      </c>
      <c r="G249" s="1" t="s">
        <v>18</v>
      </c>
      <c r="H249" s="1">
        <v>2</v>
      </c>
      <c r="I249" s="1">
        <f>Table1[[#This Row],[Units_Sold]]*Table1[[#This Row],[Unit_Price]]</f>
        <v>224.42</v>
      </c>
      <c r="J249" s="1">
        <v>112.21</v>
      </c>
      <c r="K249" s="1">
        <v>0</v>
      </c>
      <c r="L249" s="1">
        <v>224.42</v>
      </c>
      <c r="M249" s="1">
        <v>59.14</v>
      </c>
      <c r="N249" s="1">
        <v>40</v>
      </c>
      <c r="O249" s="1" t="s">
        <v>26</v>
      </c>
      <c r="P249" s="1" t="s">
        <v>32</v>
      </c>
    </row>
    <row r="250" spans="1:16" x14ac:dyDescent="0.3">
      <c r="A250" s="1">
        <v>100063</v>
      </c>
      <c r="B250" s="2">
        <v>45504</v>
      </c>
      <c r="C250" s="1" t="s">
        <v>301</v>
      </c>
      <c r="D250" s="1" t="s">
        <v>73</v>
      </c>
      <c r="E250" s="1" t="s">
        <v>25</v>
      </c>
      <c r="F250" s="1" t="s">
        <v>1241</v>
      </c>
      <c r="G250" s="1" t="s">
        <v>18</v>
      </c>
      <c r="H250" s="1">
        <v>2</v>
      </c>
      <c r="I250" s="1">
        <f>Table1[[#This Row],[Units_Sold]]*Table1[[#This Row],[Unit_Price]]</f>
        <v>66.84</v>
      </c>
      <c r="J250" s="1">
        <v>33.42</v>
      </c>
      <c r="K250" s="1">
        <v>5</v>
      </c>
      <c r="L250" s="1">
        <v>63.5</v>
      </c>
      <c r="M250" s="1">
        <v>19.829999999999998</v>
      </c>
      <c r="N250" s="1">
        <v>25</v>
      </c>
      <c r="O250" s="1" t="s">
        <v>19</v>
      </c>
      <c r="P250" s="1" t="s">
        <v>27</v>
      </c>
    </row>
    <row r="251" spans="1:16" x14ac:dyDescent="0.3">
      <c r="A251" s="1">
        <v>100141</v>
      </c>
      <c r="B251" s="2">
        <v>45436</v>
      </c>
      <c r="C251" s="1" t="s">
        <v>302</v>
      </c>
      <c r="D251" s="1" t="s">
        <v>34</v>
      </c>
      <c r="E251" s="1" t="s">
        <v>30</v>
      </c>
      <c r="F251" s="1" t="s">
        <v>1238</v>
      </c>
      <c r="G251" s="1" t="s">
        <v>31</v>
      </c>
      <c r="H251" s="1">
        <v>1</v>
      </c>
      <c r="I251" s="1">
        <f>Table1[[#This Row],[Units_Sold]]*Table1[[#This Row],[Unit_Price]]</f>
        <v>56.52</v>
      </c>
      <c r="J251" s="1">
        <v>56.52</v>
      </c>
      <c r="K251" s="1">
        <v>20</v>
      </c>
      <c r="L251" s="1">
        <v>45.22</v>
      </c>
      <c r="M251" s="1">
        <v>10.38</v>
      </c>
      <c r="N251" s="1">
        <v>34</v>
      </c>
      <c r="O251" s="1" t="s">
        <v>26</v>
      </c>
      <c r="P251" s="1" t="s">
        <v>43</v>
      </c>
    </row>
    <row r="252" spans="1:16" x14ac:dyDescent="0.3">
      <c r="A252" s="1">
        <v>100716</v>
      </c>
      <c r="B252" s="2">
        <v>45782</v>
      </c>
      <c r="C252" s="1" t="s">
        <v>303</v>
      </c>
      <c r="D252" s="1" t="s">
        <v>77</v>
      </c>
      <c r="E252" s="1" t="s">
        <v>30</v>
      </c>
      <c r="F252" s="1" t="s">
        <v>1241</v>
      </c>
      <c r="G252" s="1" t="s">
        <v>18</v>
      </c>
      <c r="H252" s="1">
        <v>3</v>
      </c>
      <c r="I252" s="1">
        <f>Table1[[#This Row],[Units_Sold]]*Table1[[#This Row],[Unit_Price]]</f>
        <v>118.05000000000001</v>
      </c>
      <c r="J252" s="1">
        <v>39.35</v>
      </c>
      <c r="K252" s="1">
        <v>0</v>
      </c>
      <c r="L252" s="1">
        <v>118.05</v>
      </c>
      <c r="M252" s="1">
        <v>34.590000000000003</v>
      </c>
      <c r="N252" s="1">
        <v>32</v>
      </c>
      <c r="O252" s="1" t="s">
        <v>122</v>
      </c>
      <c r="P252" s="1" t="s">
        <v>43</v>
      </c>
    </row>
    <row r="253" spans="1:16" x14ac:dyDescent="0.3">
      <c r="A253" s="1">
        <v>100376</v>
      </c>
      <c r="B253" s="2">
        <v>45080</v>
      </c>
      <c r="C253" s="1" t="s">
        <v>304</v>
      </c>
      <c r="D253" s="1" t="s">
        <v>68</v>
      </c>
      <c r="E253" s="1" t="s">
        <v>25</v>
      </c>
      <c r="F253" s="1" t="s">
        <v>1237</v>
      </c>
      <c r="G253" s="1" t="s">
        <v>64</v>
      </c>
      <c r="H253" s="1">
        <v>1</v>
      </c>
      <c r="I253" s="1">
        <f>Table1[[#This Row],[Units_Sold]]*Table1[[#This Row],[Unit_Price]]</f>
        <v>186.67</v>
      </c>
      <c r="J253" s="1">
        <v>186.67</v>
      </c>
      <c r="K253" s="1">
        <v>0</v>
      </c>
      <c r="L253" s="1">
        <v>186.67</v>
      </c>
      <c r="M253" s="1">
        <v>57.99</v>
      </c>
      <c r="N253" s="1">
        <v>41</v>
      </c>
      <c r="O253" s="1" t="s">
        <v>26</v>
      </c>
      <c r="P253" s="1" t="s">
        <v>27</v>
      </c>
    </row>
    <row r="254" spans="1:16" x14ac:dyDescent="0.3">
      <c r="A254" s="1">
        <v>100363</v>
      </c>
      <c r="B254" s="2">
        <v>45253</v>
      </c>
      <c r="C254" s="1" t="s">
        <v>305</v>
      </c>
      <c r="D254" s="1" t="s">
        <v>22</v>
      </c>
      <c r="E254" s="1" t="s">
        <v>17</v>
      </c>
      <c r="F254" s="1" t="s">
        <v>1241</v>
      </c>
      <c r="G254" s="1" t="s">
        <v>18</v>
      </c>
      <c r="H254" s="1">
        <v>4</v>
      </c>
      <c r="I254" s="1">
        <f>Table1[[#This Row],[Units_Sold]]*Table1[[#This Row],[Unit_Price]]</f>
        <v>101.92</v>
      </c>
      <c r="J254" s="1">
        <v>25.48</v>
      </c>
      <c r="K254" s="1">
        <v>0</v>
      </c>
      <c r="L254" s="1">
        <v>101.92</v>
      </c>
      <c r="M254" s="1">
        <v>35.270000000000003</v>
      </c>
      <c r="N254" s="1">
        <v>45</v>
      </c>
      <c r="O254" s="1" t="s">
        <v>26</v>
      </c>
      <c r="P254" s="1" t="s">
        <v>27</v>
      </c>
    </row>
    <row r="255" spans="1:16" x14ac:dyDescent="0.3">
      <c r="A255" s="1">
        <v>100139</v>
      </c>
      <c r="B255" s="2">
        <v>45040</v>
      </c>
      <c r="C255" s="1" t="s">
        <v>306</v>
      </c>
      <c r="D255" s="1" t="s">
        <v>16</v>
      </c>
      <c r="E255" s="1" t="s">
        <v>17</v>
      </c>
      <c r="F255" s="1" t="s">
        <v>1237</v>
      </c>
      <c r="G255" s="1" t="s">
        <v>31</v>
      </c>
      <c r="H255" s="1">
        <v>2</v>
      </c>
      <c r="I255" s="1">
        <f>Table1[[#This Row],[Units_Sold]]*Table1[[#This Row],[Unit_Price]]</f>
        <v>123.82</v>
      </c>
      <c r="J255" s="1">
        <v>61.91</v>
      </c>
      <c r="K255" s="1">
        <v>0</v>
      </c>
      <c r="L255" s="1">
        <v>123.82</v>
      </c>
      <c r="M255" s="1">
        <v>33.5</v>
      </c>
      <c r="N255" s="1">
        <v>36</v>
      </c>
      <c r="O255" s="1" t="s">
        <v>26</v>
      </c>
      <c r="P255" s="1" t="s">
        <v>51</v>
      </c>
    </row>
    <row r="256" spans="1:16" x14ac:dyDescent="0.3">
      <c r="A256" s="1">
        <v>100884</v>
      </c>
      <c r="B256" s="2">
        <v>44990</v>
      </c>
      <c r="C256" s="1" t="s">
        <v>307</v>
      </c>
      <c r="D256" s="1" t="s">
        <v>29</v>
      </c>
      <c r="E256" s="1" t="s">
        <v>30</v>
      </c>
      <c r="F256" s="1" t="s">
        <v>1237</v>
      </c>
      <c r="G256" s="1" t="s">
        <v>18</v>
      </c>
      <c r="H256" s="1">
        <v>4</v>
      </c>
      <c r="I256" s="1">
        <f>Table1[[#This Row],[Units_Sold]]*Table1[[#This Row],[Unit_Price]]</f>
        <v>67.44</v>
      </c>
      <c r="J256" s="1">
        <v>16.86</v>
      </c>
      <c r="K256" s="1">
        <v>10</v>
      </c>
      <c r="L256" s="1">
        <v>60.7</v>
      </c>
      <c r="M256" s="1">
        <v>20.02</v>
      </c>
      <c r="N256" s="1">
        <v>33</v>
      </c>
      <c r="O256" s="1" t="s">
        <v>26</v>
      </c>
      <c r="P256" s="1" t="s">
        <v>81</v>
      </c>
    </row>
    <row r="257" spans="1:16" x14ac:dyDescent="0.3">
      <c r="A257" s="1">
        <v>101041</v>
      </c>
      <c r="B257" s="2">
        <v>45124</v>
      </c>
      <c r="C257" s="1" t="s">
        <v>308</v>
      </c>
      <c r="D257" s="1" t="s">
        <v>29</v>
      </c>
      <c r="E257" s="1" t="s">
        <v>30</v>
      </c>
      <c r="F257" s="1" t="s">
        <v>1241</v>
      </c>
      <c r="G257" s="1" t="s">
        <v>31</v>
      </c>
      <c r="H257" s="1">
        <v>5</v>
      </c>
      <c r="I257" s="1">
        <f>Table1[[#This Row],[Units_Sold]]*Table1[[#This Row],[Unit_Price]]</f>
        <v>88.100000000000009</v>
      </c>
      <c r="J257" s="1">
        <v>17.62</v>
      </c>
      <c r="K257" s="1">
        <v>0</v>
      </c>
      <c r="L257" s="1">
        <v>88.1</v>
      </c>
      <c r="M257" s="1">
        <v>35.78</v>
      </c>
      <c r="N257" s="1">
        <v>35</v>
      </c>
      <c r="O257" s="1" t="s">
        <v>26</v>
      </c>
      <c r="P257" s="1" t="s">
        <v>46</v>
      </c>
    </row>
    <row r="258" spans="1:16" x14ac:dyDescent="0.3">
      <c r="A258" s="1">
        <v>100224</v>
      </c>
      <c r="B258" s="2">
        <v>45106</v>
      </c>
      <c r="C258" s="1" t="s">
        <v>309</v>
      </c>
      <c r="D258" s="1" t="s">
        <v>100</v>
      </c>
      <c r="E258" s="1" t="s">
        <v>25</v>
      </c>
      <c r="F258" s="1" t="s">
        <v>1239</v>
      </c>
      <c r="G258" s="1" t="s">
        <v>48</v>
      </c>
      <c r="H258" s="1">
        <v>3</v>
      </c>
      <c r="I258" s="1">
        <f>Table1[[#This Row],[Units_Sold]]*Table1[[#This Row],[Unit_Price]]</f>
        <v>359.15999999999997</v>
      </c>
      <c r="J258" s="1">
        <v>119.72</v>
      </c>
      <c r="K258" s="1">
        <v>0</v>
      </c>
      <c r="L258" s="1">
        <v>359.16</v>
      </c>
      <c r="M258" s="1">
        <v>87.93</v>
      </c>
      <c r="N258" s="1">
        <v>42</v>
      </c>
      <c r="O258" s="1" t="s">
        <v>26</v>
      </c>
      <c r="P258" s="1" t="s">
        <v>27</v>
      </c>
    </row>
    <row r="259" spans="1:16" x14ac:dyDescent="0.3">
      <c r="A259" s="1">
        <v>100514</v>
      </c>
      <c r="B259" s="2">
        <v>45259</v>
      </c>
      <c r="C259" s="1" t="s">
        <v>310</v>
      </c>
      <c r="D259" s="1" t="s">
        <v>56</v>
      </c>
      <c r="E259" s="1" t="s">
        <v>30</v>
      </c>
      <c r="F259" s="1" t="s">
        <v>1237</v>
      </c>
      <c r="G259" s="1" t="s">
        <v>48</v>
      </c>
      <c r="H259" s="1">
        <v>4</v>
      </c>
      <c r="I259" s="1">
        <f>Table1[[#This Row],[Units_Sold]]*Table1[[#This Row],[Unit_Price]]</f>
        <v>156.16</v>
      </c>
      <c r="J259" s="1">
        <v>39.04</v>
      </c>
      <c r="K259" s="1">
        <v>5</v>
      </c>
      <c r="L259" s="1">
        <v>148.35</v>
      </c>
      <c r="M259" s="1">
        <v>54.55</v>
      </c>
      <c r="N259" s="1">
        <v>23</v>
      </c>
      <c r="O259" s="1" t="s">
        <v>26</v>
      </c>
      <c r="P259" s="1" t="s">
        <v>20</v>
      </c>
    </row>
    <row r="260" spans="1:16" x14ac:dyDescent="0.3">
      <c r="A260" s="1">
        <v>100266</v>
      </c>
      <c r="B260" s="2">
        <v>45623</v>
      </c>
      <c r="C260" s="1" t="s">
        <v>311</v>
      </c>
      <c r="D260" s="1" t="s">
        <v>77</v>
      </c>
      <c r="E260" s="1" t="s">
        <v>30</v>
      </c>
      <c r="F260" s="1" t="s">
        <v>1241</v>
      </c>
      <c r="G260" s="1" t="s">
        <v>31</v>
      </c>
      <c r="H260" s="1">
        <v>1</v>
      </c>
      <c r="I260" s="1">
        <f>Table1[[#This Row],[Units_Sold]]*Table1[[#This Row],[Unit_Price]]</f>
        <v>37.5</v>
      </c>
      <c r="J260" s="1">
        <v>37.5</v>
      </c>
      <c r="K260" s="1">
        <v>0</v>
      </c>
      <c r="L260" s="1">
        <v>37.5</v>
      </c>
      <c r="M260" s="1">
        <v>14.68</v>
      </c>
      <c r="N260" s="1">
        <v>37</v>
      </c>
      <c r="O260" s="1" t="s">
        <v>19</v>
      </c>
      <c r="P260" s="1" t="s">
        <v>27</v>
      </c>
    </row>
    <row r="261" spans="1:16" x14ac:dyDescent="0.3">
      <c r="A261" s="1">
        <v>101169</v>
      </c>
      <c r="B261" s="2">
        <v>45919</v>
      </c>
      <c r="C261" s="1" t="s">
        <v>312</v>
      </c>
      <c r="D261" s="1" t="s">
        <v>39</v>
      </c>
      <c r="E261" s="1" t="s">
        <v>25</v>
      </c>
      <c r="F261" s="1" t="s">
        <v>1237</v>
      </c>
      <c r="G261" s="1" t="s">
        <v>31</v>
      </c>
      <c r="H261" s="1">
        <v>4</v>
      </c>
      <c r="I261" s="1">
        <f>Table1[[#This Row],[Units_Sold]]*Table1[[#This Row],[Unit_Price]]</f>
        <v>794</v>
      </c>
      <c r="J261" s="1">
        <v>198.5</v>
      </c>
      <c r="K261" s="1">
        <v>5</v>
      </c>
      <c r="L261" s="1">
        <v>754.3</v>
      </c>
      <c r="M261" s="1">
        <v>256.14999999999998</v>
      </c>
      <c r="N261" s="1">
        <v>21</v>
      </c>
      <c r="O261" s="1" t="s">
        <v>26</v>
      </c>
      <c r="P261" s="1" t="s">
        <v>20</v>
      </c>
    </row>
    <row r="262" spans="1:16" x14ac:dyDescent="0.3">
      <c r="A262" s="1">
        <v>100486</v>
      </c>
      <c r="B262" s="2">
        <v>45700</v>
      </c>
      <c r="C262" s="1" t="s">
        <v>313</v>
      </c>
      <c r="D262" s="1" t="s">
        <v>73</v>
      </c>
      <c r="E262" s="1" t="s">
        <v>25</v>
      </c>
      <c r="F262" s="1" t="s">
        <v>1237</v>
      </c>
      <c r="G262" s="1" t="s">
        <v>31</v>
      </c>
      <c r="H262" s="1">
        <v>1</v>
      </c>
      <c r="I262" s="1">
        <f>Table1[[#This Row],[Units_Sold]]*Table1[[#This Row],[Unit_Price]]</f>
        <v>36.39</v>
      </c>
      <c r="J262" s="1">
        <v>36.39</v>
      </c>
      <c r="K262" s="1">
        <v>5</v>
      </c>
      <c r="L262" s="1">
        <v>34.57</v>
      </c>
      <c r="M262" s="1">
        <v>10.45</v>
      </c>
      <c r="N262" s="1">
        <v>25</v>
      </c>
      <c r="O262" s="1" t="s">
        <v>26</v>
      </c>
      <c r="P262" s="1" t="s">
        <v>46</v>
      </c>
    </row>
    <row r="263" spans="1:16" x14ac:dyDescent="0.3">
      <c r="A263" s="1">
        <v>100352</v>
      </c>
      <c r="B263" s="2">
        <v>45503</v>
      </c>
      <c r="C263" s="1" t="s">
        <v>314</v>
      </c>
      <c r="D263" s="1" t="s">
        <v>73</v>
      </c>
      <c r="E263" s="1" t="s">
        <v>25</v>
      </c>
      <c r="F263" s="1" t="s">
        <v>1237</v>
      </c>
      <c r="G263" s="1" t="s">
        <v>64</v>
      </c>
      <c r="H263" s="1">
        <v>3</v>
      </c>
      <c r="I263" s="1">
        <f>Table1[[#This Row],[Units_Sold]]*Table1[[#This Row],[Unit_Price]]</f>
        <v>95.699999999999989</v>
      </c>
      <c r="J263" s="1">
        <v>31.9</v>
      </c>
      <c r="K263" s="1">
        <v>0</v>
      </c>
      <c r="L263" s="1">
        <v>95.7</v>
      </c>
      <c r="M263" s="1">
        <v>27.68</v>
      </c>
      <c r="N263" s="1">
        <v>30</v>
      </c>
      <c r="O263" s="1" t="s">
        <v>26</v>
      </c>
      <c r="P263" s="1" t="s">
        <v>35</v>
      </c>
    </row>
    <row r="264" spans="1:16" x14ac:dyDescent="0.3">
      <c r="A264" s="1">
        <v>101005</v>
      </c>
      <c r="B264" s="2">
        <v>45532</v>
      </c>
      <c r="C264" s="1" t="s">
        <v>315</v>
      </c>
      <c r="D264" s="1" t="s">
        <v>59</v>
      </c>
      <c r="E264" s="1" t="s">
        <v>17</v>
      </c>
      <c r="F264" s="1" t="s">
        <v>1237</v>
      </c>
      <c r="G264" s="1" t="s">
        <v>18</v>
      </c>
      <c r="H264" s="1">
        <v>2</v>
      </c>
      <c r="I264" s="1">
        <f>Table1[[#This Row],[Units_Sold]]*Table1[[#This Row],[Unit_Price]]</f>
        <v>54.6</v>
      </c>
      <c r="J264" s="1">
        <v>27.3</v>
      </c>
      <c r="K264" s="1">
        <v>40</v>
      </c>
      <c r="L264" s="1">
        <v>32.76</v>
      </c>
      <c r="M264" s="1">
        <v>7.02</v>
      </c>
      <c r="N264" s="1">
        <v>29</v>
      </c>
      <c r="O264" s="1" t="s">
        <v>26</v>
      </c>
      <c r="P264" s="1" t="s">
        <v>20</v>
      </c>
    </row>
    <row r="265" spans="1:16" x14ac:dyDescent="0.3">
      <c r="A265" s="1">
        <v>100617</v>
      </c>
      <c r="B265" s="2">
        <v>45132</v>
      </c>
      <c r="C265" s="1" t="s">
        <v>316</v>
      </c>
      <c r="D265" s="1" t="s">
        <v>73</v>
      </c>
      <c r="E265" s="1" t="s">
        <v>25</v>
      </c>
      <c r="F265" s="1" t="s">
        <v>1238</v>
      </c>
      <c r="G265" s="1" t="s">
        <v>31</v>
      </c>
      <c r="H265" s="1">
        <v>4</v>
      </c>
      <c r="I265" s="1">
        <f>Table1[[#This Row],[Units_Sold]]*Table1[[#This Row],[Unit_Price]]</f>
        <v>121.72</v>
      </c>
      <c r="J265" s="1">
        <v>30.43</v>
      </c>
      <c r="K265" s="1">
        <v>5</v>
      </c>
      <c r="L265" s="1">
        <v>115.63</v>
      </c>
      <c r="M265" s="1">
        <v>29.39</v>
      </c>
      <c r="N265" s="1">
        <v>32</v>
      </c>
      <c r="O265" s="1" t="s">
        <v>19</v>
      </c>
      <c r="P265" s="1" t="s">
        <v>20</v>
      </c>
    </row>
    <row r="266" spans="1:16" x14ac:dyDescent="0.3">
      <c r="A266" s="1">
        <v>100667</v>
      </c>
      <c r="B266" s="2">
        <v>44991</v>
      </c>
      <c r="C266" s="1" t="s">
        <v>317</v>
      </c>
      <c r="D266" s="1" t="s">
        <v>45</v>
      </c>
      <c r="E266" s="1" t="s">
        <v>30</v>
      </c>
      <c r="F266" s="1" t="s">
        <v>1238</v>
      </c>
      <c r="G266" s="1" t="s">
        <v>64</v>
      </c>
      <c r="H266" s="1">
        <v>6</v>
      </c>
      <c r="I266" s="1">
        <f>Table1[[#This Row],[Units_Sold]]*Table1[[#This Row],[Unit_Price]]</f>
        <v>91.320000000000007</v>
      </c>
      <c r="J266" s="1">
        <v>15.22</v>
      </c>
      <c r="K266" s="1">
        <v>0</v>
      </c>
      <c r="L266" s="1">
        <v>91.32</v>
      </c>
      <c r="M266" s="1">
        <v>26.48</v>
      </c>
      <c r="N266" s="1">
        <v>23</v>
      </c>
      <c r="O266" s="1" t="s">
        <v>19</v>
      </c>
      <c r="P266" s="1" t="s">
        <v>81</v>
      </c>
    </row>
    <row r="267" spans="1:16" x14ac:dyDescent="0.3">
      <c r="A267" s="1">
        <v>100774</v>
      </c>
      <c r="B267" s="2">
        <v>45207</v>
      </c>
      <c r="C267" s="1" t="s">
        <v>318</v>
      </c>
      <c r="D267" s="1" t="s">
        <v>24</v>
      </c>
      <c r="E267" s="1" t="s">
        <v>25</v>
      </c>
      <c r="F267" s="1" t="s">
        <v>1240</v>
      </c>
      <c r="G267" s="1" t="s">
        <v>31</v>
      </c>
      <c r="H267" s="1">
        <v>6</v>
      </c>
      <c r="I267" s="1">
        <f>Table1[[#This Row],[Units_Sold]]*Table1[[#This Row],[Unit_Price]]</f>
        <v>573.06000000000006</v>
      </c>
      <c r="J267" s="1">
        <v>95.51</v>
      </c>
      <c r="K267" s="1">
        <v>0</v>
      </c>
      <c r="L267" s="1">
        <v>573.05999999999995</v>
      </c>
      <c r="M267" s="1">
        <v>94.18</v>
      </c>
      <c r="N267" s="1">
        <v>16</v>
      </c>
      <c r="O267" s="1" t="s">
        <v>26</v>
      </c>
      <c r="P267" s="1" t="s">
        <v>43</v>
      </c>
    </row>
    <row r="268" spans="1:16" x14ac:dyDescent="0.3">
      <c r="A268" s="1">
        <v>100553</v>
      </c>
      <c r="B268" s="2">
        <v>45311</v>
      </c>
      <c r="C268" s="1" t="s">
        <v>319</v>
      </c>
      <c r="D268" s="1" t="s">
        <v>45</v>
      </c>
      <c r="E268" s="1" t="s">
        <v>30</v>
      </c>
      <c r="F268" s="1" t="s">
        <v>1241</v>
      </c>
      <c r="G268" s="1" t="s">
        <v>64</v>
      </c>
      <c r="H268" s="1">
        <v>3</v>
      </c>
      <c r="I268" s="1">
        <f>Table1[[#This Row],[Units_Sold]]*Table1[[#This Row],[Unit_Price]]</f>
        <v>43.230000000000004</v>
      </c>
      <c r="J268" s="1">
        <v>14.41</v>
      </c>
      <c r="K268" s="1">
        <v>0</v>
      </c>
      <c r="L268" s="1">
        <v>43.23</v>
      </c>
      <c r="M268" s="1">
        <v>15.33</v>
      </c>
      <c r="N268" s="1">
        <v>25</v>
      </c>
      <c r="O268" s="1" t="s">
        <v>26</v>
      </c>
      <c r="P268" s="1" t="s">
        <v>32</v>
      </c>
    </row>
    <row r="269" spans="1:16" x14ac:dyDescent="0.3">
      <c r="A269" s="1">
        <v>100575</v>
      </c>
      <c r="B269" s="2">
        <v>45826</v>
      </c>
      <c r="C269" s="1" t="s">
        <v>320</v>
      </c>
      <c r="D269" s="1" t="s">
        <v>62</v>
      </c>
      <c r="E269" s="1" t="s">
        <v>17</v>
      </c>
      <c r="F269" s="1" t="s">
        <v>1237</v>
      </c>
      <c r="G269" s="1" t="s">
        <v>18</v>
      </c>
      <c r="H269" s="1">
        <v>4</v>
      </c>
      <c r="I269" s="1">
        <f>Table1[[#This Row],[Units_Sold]]*Table1[[#This Row],[Unit_Price]]</f>
        <v>566.28</v>
      </c>
      <c r="J269" s="1">
        <v>141.57</v>
      </c>
      <c r="K269" s="1">
        <v>0</v>
      </c>
      <c r="L269" s="1">
        <v>566.28</v>
      </c>
      <c r="M269" s="1">
        <v>156.63999999999999</v>
      </c>
      <c r="N269" s="1">
        <v>39</v>
      </c>
      <c r="O269" s="1" t="s">
        <v>19</v>
      </c>
      <c r="P269" s="1" t="s">
        <v>20</v>
      </c>
    </row>
    <row r="270" spans="1:16" x14ac:dyDescent="0.3">
      <c r="A270" s="1">
        <v>100914</v>
      </c>
      <c r="B270" s="2">
        <v>45800</v>
      </c>
      <c r="C270" s="1" t="s">
        <v>321</v>
      </c>
      <c r="D270" s="1" t="s">
        <v>45</v>
      </c>
      <c r="E270" s="1" t="s">
        <v>30</v>
      </c>
      <c r="F270" s="1" t="s">
        <v>1241</v>
      </c>
      <c r="G270" s="1" t="s">
        <v>48</v>
      </c>
      <c r="H270" s="1">
        <v>3</v>
      </c>
      <c r="I270" s="1">
        <f>Table1[[#This Row],[Units_Sold]]*Table1[[#This Row],[Unit_Price]]</f>
        <v>49.349999999999994</v>
      </c>
      <c r="J270" s="1">
        <v>16.45</v>
      </c>
      <c r="K270" s="1">
        <v>10</v>
      </c>
      <c r="L270" s="1">
        <v>44.41</v>
      </c>
      <c r="M270" s="1">
        <v>16.55</v>
      </c>
      <c r="N270" s="1">
        <v>35</v>
      </c>
      <c r="O270" s="1" t="s">
        <v>26</v>
      </c>
      <c r="P270" s="1" t="s">
        <v>81</v>
      </c>
    </row>
    <row r="271" spans="1:16" x14ac:dyDescent="0.3">
      <c r="A271" s="1">
        <v>100465</v>
      </c>
      <c r="B271" s="2">
        <v>45796</v>
      </c>
      <c r="C271" s="1" t="s">
        <v>322</v>
      </c>
      <c r="D271" s="1" t="s">
        <v>56</v>
      </c>
      <c r="E271" s="1" t="s">
        <v>30</v>
      </c>
      <c r="F271" s="1" t="s">
        <v>1237</v>
      </c>
      <c r="G271" s="1" t="s">
        <v>31</v>
      </c>
      <c r="H271" s="1">
        <v>4</v>
      </c>
      <c r="I271" s="1">
        <f>Table1[[#This Row],[Units_Sold]]*Table1[[#This Row],[Unit_Price]]</f>
        <v>204.76</v>
      </c>
      <c r="J271" s="1">
        <v>51.19</v>
      </c>
      <c r="K271" s="1">
        <v>0</v>
      </c>
      <c r="L271" s="1">
        <v>204.76</v>
      </c>
      <c r="M271" s="1">
        <v>59.69</v>
      </c>
      <c r="N271" s="1">
        <v>36</v>
      </c>
      <c r="O271" s="1" t="s">
        <v>19</v>
      </c>
      <c r="P271" s="1" t="s">
        <v>51</v>
      </c>
    </row>
    <row r="272" spans="1:16" x14ac:dyDescent="0.3">
      <c r="A272" s="1">
        <v>100590</v>
      </c>
      <c r="B272" s="2">
        <v>45391</v>
      </c>
      <c r="C272" s="1" t="s">
        <v>323</v>
      </c>
      <c r="D272" s="1" t="s">
        <v>77</v>
      </c>
      <c r="E272" s="1" t="s">
        <v>30</v>
      </c>
      <c r="F272" s="1" t="s">
        <v>1239</v>
      </c>
      <c r="G272" s="1" t="s">
        <v>48</v>
      </c>
      <c r="H272" s="1">
        <v>3</v>
      </c>
      <c r="I272" s="1">
        <f>Table1[[#This Row],[Units_Sold]]*Table1[[#This Row],[Unit_Price]]</f>
        <v>119.88</v>
      </c>
      <c r="J272" s="1">
        <v>39.96</v>
      </c>
      <c r="K272" s="1">
        <v>0</v>
      </c>
      <c r="L272" s="1">
        <v>119.88</v>
      </c>
      <c r="M272" s="1">
        <v>34.04</v>
      </c>
      <c r="N272" s="1">
        <v>20</v>
      </c>
      <c r="O272" s="1" t="s">
        <v>26</v>
      </c>
      <c r="P272" s="1" t="s">
        <v>43</v>
      </c>
    </row>
    <row r="273" spans="1:16" x14ac:dyDescent="0.3">
      <c r="A273" s="1">
        <v>100764</v>
      </c>
      <c r="B273" s="2">
        <v>45913</v>
      </c>
      <c r="C273" s="1" t="s">
        <v>324</v>
      </c>
      <c r="D273" s="1" t="s">
        <v>53</v>
      </c>
      <c r="E273" s="1" t="s">
        <v>30</v>
      </c>
      <c r="F273" s="1" t="s">
        <v>1241</v>
      </c>
      <c r="G273" s="1" t="s">
        <v>48</v>
      </c>
      <c r="H273" s="1">
        <v>3</v>
      </c>
      <c r="I273" s="1">
        <f>Table1[[#This Row],[Units_Sold]]*Table1[[#This Row],[Unit_Price]]</f>
        <v>70.53</v>
      </c>
      <c r="J273" s="1">
        <v>23.51</v>
      </c>
      <c r="K273" s="1">
        <v>0</v>
      </c>
      <c r="L273" s="1">
        <v>70.53</v>
      </c>
      <c r="M273" s="1">
        <v>23.67</v>
      </c>
      <c r="N273" s="1">
        <v>31</v>
      </c>
      <c r="O273" s="1" t="s">
        <v>26</v>
      </c>
      <c r="P273" s="1" t="s">
        <v>20</v>
      </c>
    </row>
    <row r="274" spans="1:16" x14ac:dyDescent="0.3">
      <c r="A274" s="1">
        <v>100634</v>
      </c>
      <c r="B274" s="2">
        <v>45813</v>
      </c>
      <c r="C274" s="1" t="s">
        <v>325</v>
      </c>
      <c r="D274" s="1" t="s">
        <v>39</v>
      </c>
      <c r="E274" s="1" t="s">
        <v>25</v>
      </c>
      <c r="F274" s="1" t="s">
        <v>1237</v>
      </c>
      <c r="G274" s="1" t="s">
        <v>18</v>
      </c>
      <c r="H274" s="1">
        <v>1</v>
      </c>
      <c r="I274" s="1">
        <f>Table1[[#This Row],[Units_Sold]]*Table1[[#This Row],[Unit_Price]]</f>
        <v>208.4</v>
      </c>
      <c r="J274" s="1">
        <v>208.4</v>
      </c>
      <c r="K274" s="1">
        <v>20</v>
      </c>
      <c r="L274" s="1">
        <v>166.72</v>
      </c>
      <c r="M274" s="1">
        <v>38.46</v>
      </c>
      <c r="N274" s="1">
        <v>39</v>
      </c>
      <c r="O274" s="1" t="s">
        <v>26</v>
      </c>
      <c r="P274" s="1" t="s">
        <v>32</v>
      </c>
    </row>
    <row r="275" spans="1:16" x14ac:dyDescent="0.3">
      <c r="A275" s="1">
        <v>100837</v>
      </c>
      <c r="B275" s="2">
        <v>45477</v>
      </c>
      <c r="C275" s="1" t="s">
        <v>326</v>
      </c>
      <c r="D275" s="1" t="s">
        <v>66</v>
      </c>
      <c r="E275" s="1" t="s">
        <v>17</v>
      </c>
      <c r="F275" s="1" t="s">
        <v>1237</v>
      </c>
      <c r="G275" s="1" t="s">
        <v>48</v>
      </c>
      <c r="H275" s="1">
        <v>3</v>
      </c>
      <c r="I275" s="1">
        <f>Table1[[#This Row],[Units_Sold]]*Table1[[#This Row],[Unit_Price]]</f>
        <v>372.03000000000003</v>
      </c>
      <c r="J275" s="1">
        <v>124.01</v>
      </c>
      <c r="K275" s="1">
        <v>5</v>
      </c>
      <c r="L275" s="1">
        <v>353.43</v>
      </c>
      <c r="M275" s="1">
        <v>138.56</v>
      </c>
      <c r="N275" s="1">
        <v>39</v>
      </c>
      <c r="O275" s="1" t="s">
        <v>26</v>
      </c>
      <c r="P275" s="1" t="s">
        <v>20</v>
      </c>
    </row>
    <row r="276" spans="1:16" x14ac:dyDescent="0.3">
      <c r="A276" s="1">
        <v>100289</v>
      </c>
      <c r="B276" s="2">
        <v>45195</v>
      </c>
      <c r="C276" s="1" t="s">
        <v>327</v>
      </c>
      <c r="D276" s="1" t="s">
        <v>53</v>
      </c>
      <c r="E276" s="1" t="s">
        <v>30</v>
      </c>
      <c r="F276" s="1" t="s">
        <v>1237</v>
      </c>
      <c r="G276" s="1" t="s">
        <v>31</v>
      </c>
      <c r="H276" s="1">
        <v>3</v>
      </c>
      <c r="I276" s="1">
        <f>Table1[[#This Row],[Units_Sold]]*Table1[[#This Row],[Unit_Price]]</f>
        <v>64.38</v>
      </c>
      <c r="J276" s="1">
        <v>21.46</v>
      </c>
      <c r="K276" s="1">
        <v>0</v>
      </c>
      <c r="L276" s="1">
        <v>64.38</v>
      </c>
      <c r="M276" s="1">
        <v>19.04</v>
      </c>
      <c r="N276" s="1">
        <v>21</v>
      </c>
      <c r="O276" s="1" t="s">
        <v>19</v>
      </c>
      <c r="P276" s="1" t="s">
        <v>27</v>
      </c>
    </row>
    <row r="277" spans="1:16" x14ac:dyDescent="0.3">
      <c r="A277" s="1">
        <v>100039</v>
      </c>
      <c r="B277" s="2">
        <v>45200</v>
      </c>
      <c r="C277" s="1" t="s">
        <v>328</v>
      </c>
      <c r="D277" s="1" t="s">
        <v>42</v>
      </c>
      <c r="E277" s="1" t="s">
        <v>25</v>
      </c>
      <c r="F277" s="1" t="s">
        <v>1241</v>
      </c>
      <c r="G277" s="1" t="s">
        <v>48</v>
      </c>
      <c r="H277" s="1">
        <v>3</v>
      </c>
      <c r="I277" s="1">
        <f>Table1[[#This Row],[Units_Sold]]*Table1[[#This Row],[Unit_Price]]</f>
        <v>505.02</v>
      </c>
      <c r="J277" s="1">
        <v>168.34</v>
      </c>
      <c r="K277" s="1">
        <v>0</v>
      </c>
      <c r="L277" s="1">
        <v>505.02</v>
      </c>
      <c r="M277" s="1">
        <v>155.66999999999999</v>
      </c>
      <c r="N277" s="1">
        <v>23</v>
      </c>
      <c r="O277" s="1" t="s">
        <v>19</v>
      </c>
      <c r="P277" s="1" t="s">
        <v>51</v>
      </c>
    </row>
    <row r="278" spans="1:16" x14ac:dyDescent="0.3">
      <c r="A278" s="1">
        <v>100030</v>
      </c>
      <c r="B278" s="2">
        <v>45332</v>
      </c>
      <c r="C278" s="1" t="s">
        <v>329</v>
      </c>
      <c r="D278" s="1" t="s">
        <v>68</v>
      </c>
      <c r="E278" s="1" t="s">
        <v>25</v>
      </c>
      <c r="F278" s="1" t="s">
        <v>1241</v>
      </c>
      <c r="G278" s="1" t="s">
        <v>18</v>
      </c>
      <c r="H278" s="1">
        <v>3</v>
      </c>
      <c r="I278" s="1">
        <f>Table1[[#This Row],[Units_Sold]]*Table1[[#This Row],[Unit_Price]]</f>
        <v>758.52</v>
      </c>
      <c r="J278" s="1">
        <v>252.84</v>
      </c>
      <c r="K278" s="1">
        <v>0</v>
      </c>
      <c r="L278" s="1">
        <v>758.52</v>
      </c>
      <c r="M278" s="1">
        <v>245.53</v>
      </c>
      <c r="N278" s="1">
        <v>23</v>
      </c>
      <c r="O278" s="1" t="s">
        <v>19</v>
      </c>
      <c r="P278" s="1" t="s">
        <v>27</v>
      </c>
    </row>
    <row r="279" spans="1:16" x14ac:dyDescent="0.3">
      <c r="A279" s="1">
        <v>100242</v>
      </c>
      <c r="B279" s="2">
        <v>45208</v>
      </c>
      <c r="C279" s="1" t="s">
        <v>330</v>
      </c>
      <c r="D279" s="1" t="s">
        <v>70</v>
      </c>
      <c r="E279" s="1" t="s">
        <v>25</v>
      </c>
      <c r="F279" s="1" t="s">
        <v>1237</v>
      </c>
      <c r="G279" s="1" t="s">
        <v>31</v>
      </c>
      <c r="H279" s="1">
        <v>3</v>
      </c>
      <c r="I279" s="1">
        <f>Table1[[#This Row],[Units_Sold]]*Table1[[#This Row],[Unit_Price]]</f>
        <v>493.68</v>
      </c>
      <c r="J279" s="1">
        <v>164.56</v>
      </c>
      <c r="K279" s="1">
        <v>0</v>
      </c>
      <c r="L279" s="1">
        <v>493.68</v>
      </c>
      <c r="M279" s="1">
        <v>151.6</v>
      </c>
      <c r="N279" s="1">
        <v>25</v>
      </c>
      <c r="O279" s="1" t="s">
        <v>26</v>
      </c>
      <c r="P279" s="1" t="s">
        <v>32</v>
      </c>
    </row>
    <row r="280" spans="1:16" x14ac:dyDescent="0.3">
      <c r="A280" s="1">
        <v>100428</v>
      </c>
      <c r="B280" s="2">
        <v>45645</v>
      </c>
      <c r="C280" s="1" t="s">
        <v>331</v>
      </c>
      <c r="D280" s="1" t="s">
        <v>87</v>
      </c>
      <c r="E280" s="1" t="s">
        <v>25</v>
      </c>
      <c r="F280" s="1" t="s">
        <v>1241</v>
      </c>
      <c r="G280" s="1" t="s">
        <v>18</v>
      </c>
      <c r="H280" s="1">
        <v>3</v>
      </c>
      <c r="I280" s="1">
        <f>Table1[[#This Row],[Units_Sold]]*Table1[[#This Row],[Unit_Price]]</f>
        <v>241.23</v>
      </c>
      <c r="J280" s="1">
        <v>80.41</v>
      </c>
      <c r="K280" s="1">
        <v>10</v>
      </c>
      <c r="L280" s="1">
        <v>217.11</v>
      </c>
      <c r="M280" s="1">
        <v>65.5</v>
      </c>
      <c r="N280" s="1">
        <v>21</v>
      </c>
      <c r="O280" s="1" t="s">
        <v>19</v>
      </c>
      <c r="P280" s="1" t="s">
        <v>32</v>
      </c>
    </row>
    <row r="281" spans="1:16" x14ac:dyDescent="0.3">
      <c r="A281" s="1">
        <v>100136</v>
      </c>
      <c r="B281" s="2">
        <v>45072</v>
      </c>
      <c r="C281" s="1" t="s">
        <v>332</v>
      </c>
      <c r="D281" s="1" t="s">
        <v>39</v>
      </c>
      <c r="E281" s="1" t="s">
        <v>25</v>
      </c>
      <c r="F281" s="1" t="s">
        <v>1238</v>
      </c>
      <c r="G281" s="1" t="s">
        <v>18</v>
      </c>
      <c r="H281" s="1">
        <v>2</v>
      </c>
      <c r="I281" s="1">
        <f>Table1[[#This Row],[Units_Sold]]*Table1[[#This Row],[Unit_Price]]</f>
        <v>363.28</v>
      </c>
      <c r="J281" s="1">
        <v>181.64</v>
      </c>
      <c r="K281" s="1">
        <v>10</v>
      </c>
      <c r="L281" s="1">
        <v>326.95</v>
      </c>
      <c r="M281" s="1">
        <v>100.54</v>
      </c>
      <c r="N281" s="1">
        <v>32</v>
      </c>
      <c r="O281" s="1" t="s">
        <v>26</v>
      </c>
      <c r="P281" s="1" t="s">
        <v>35</v>
      </c>
    </row>
    <row r="282" spans="1:16" x14ac:dyDescent="0.3">
      <c r="A282" s="1">
        <v>101100</v>
      </c>
      <c r="B282" s="2">
        <v>45185</v>
      </c>
      <c r="C282" s="1" t="s">
        <v>147</v>
      </c>
      <c r="D282" s="1" t="s">
        <v>42</v>
      </c>
      <c r="E282" s="1" t="s">
        <v>25</v>
      </c>
      <c r="F282" s="1" t="s">
        <v>1241</v>
      </c>
      <c r="G282" s="1" t="s">
        <v>18</v>
      </c>
      <c r="H282" s="1">
        <v>1</v>
      </c>
      <c r="I282" s="1">
        <f>Table1[[#This Row],[Units_Sold]]*Table1[[#This Row],[Unit_Price]]</f>
        <v>150.4</v>
      </c>
      <c r="J282" s="1">
        <v>150.4</v>
      </c>
      <c r="K282" s="1">
        <v>10</v>
      </c>
      <c r="L282" s="1">
        <v>135.36000000000001</v>
      </c>
      <c r="M282" s="1">
        <v>34.33</v>
      </c>
      <c r="N282" s="1">
        <v>24</v>
      </c>
      <c r="O282" s="1" t="s">
        <v>26</v>
      </c>
      <c r="P282" s="1" t="s">
        <v>46</v>
      </c>
    </row>
    <row r="283" spans="1:16" x14ac:dyDescent="0.3">
      <c r="A283" s="1">
        <v>100864</v>
      </c>
      <c r="B283" s="2">
        <v>45759</v>
      </c>
      <c r="C283" s="1" t="s">
        <v>333</v>
      </c>
      <c r="D283" s="1" t="s">
        <v>29</v>
      </c>
      <c r="E283" s="1" t="s">
        <v>30</v>
      </c>
      <c r="F283" s="1" t="s">
        <v>1237</v>
      </c>
      <c r="G283" s="1" t="s">
        <v>31</v>
      </c>
      <c r="H283" s="1">
        <v>3</v>
      </c>
      <c r="I283" s="1">
        <f>Table1[[#This Row],[Units_Sold]]*Table1[[#This Row],[Unit_Price]]</f>
        <v>56.97</v>
      </c>
      <c r="J283" s="1">
        <v>18.989999999999998</v>
      </c>
      <c r="K283" s="1">
        <v>0</v>
      </c>
      <c r="L283" s="1">
        <v>56.97</v>
      </c>
      <c r="M283" s="1">
        <v>15.45</v>
      </c>
      <c r="N283" s="1">
        <v>27</v>
      </c>
      <c r="O283" s="1" t="s">
        <v>26</v>
      </c>
      <c r="P283" s="1" t="s">
        <v>81</v>
      </c>
    </row>
    <row r="284" spans="1:16" x14ac:dyDescent="0.3">
      <c r="A284" s="1">
        <v>100003</v>
      </c>
      <c r="B284" s="2">
        <v>45147</v>
      </c>
      <c r="C284" s="1" t="s">
        <v>334</v>
      </c>
      <c r="D284" s="1" t="s">
        <v>66</v>
      </c>
      <c r="E284" s="1" t="s">
        <v>17</v>
      </c>
      <c r="F284" s="1" t="s">
        <v>1238</v>
      </c>
      <c r="G284" s="1" t="s">
        <v>18</v>
      </c>
      <c r="H284" s="1">
        <v>2</v>
      </c>
      <c r="I284" s="1">
        <f>Table1[[#This Row],[Units_Sold]]*Table1[[#This Row],[Unit_Price]]</f>
        <v>246.04</v>
      </c>
      <c r="J284" s="1">
        <v>123.02</v>
      </c>
      <c r="K284" s="1">
        <v>10</v>
      </c>
      <c r="L284" s="1">
        <v>221.44</v>
      </c>
      <c r="M284" s="1">
        <v>81.48</v>
      </c>
      <c r="N284" s="1">
        <v>28</v>
      </c>
      <c r="O284" s="1" t="s">
        <v>26</v>
      </c>
      <c r="P284" s="1" t="s">
        <v>20</v>
      </c>
    </row>
    <row r="285" spans="1:16" x14ac:dyDescent="0.3">
      <c r="A285" s="1">
        <v>100832</v>
      </c>
      <c r="B285" s="2">
        <v>45076</v>
      </c>
      <c r="C285" s="1" t="s">
        <v>335</v>
      </c>
      <c r="D285" s="1" t="s">
        <v>39</v>
      </c>
      <c r="E285" s="1" t="s">
        <v>25</v>
      </c>
      <c r="F285" s="1" t="s">
        <v>1238</v>
      </c>
      <c r="G285" s="1" t="s">
        <v>18</v>
      </c>
      <c r="H285" s="1">
        <v>3</v>
      </c>
      <c r="I285" s="1">
        <f>Table1[[#This Row],[Units_Sold]]*Table1[[#This Row],[Unit_Price]]</f>
        <v>530.81999999999994</v>
      </c>
      <c r="J285" s="1">
        <v>176.94</v>
      </c>
      <c r="K285" s="1">
        <v>0</v>
      </c>
      <c r="L285" s="1">
        <v>530.82000000000005</v>
      </c>
      <c r="M285" s="1">
        <v>190.54</v>
      </c>
      <c r="N285" s="1">
        <v>33</v>
      </c>
      <c r="O285" s="1" t="s">
        <v>26</v>
      </c>
      <c r="P285" s="1" t="s">
        <v>32</v>
      </c>
    </row>
    <row r="286" spans="1:16" x14ac:dyDescent="0.3">
      <c r="A286" s="1">
        <v>100602</v>
      </c>
      <c r="B286" s="2">
        <v>45192</v>
      </c>
      <c r="C286" s="1" t="s">
        <v>336</v>
      </c>
      <c r="D286" s="1" t="s">
        <v>56</v>
      </c>
      <c r="E286" s="1" t="s">
        <v>30</v>
      </c>
      <c r="F286" s="1" t="s">
        <v>1237</v>
      </c>
      <c r="G286" s="1" t="s">
        <v>64</v>
      </c>
      <c r="H286" s="1">
        <v>3</v>
      </c>
      <c r="I286" s="1">
        <f>Table1[[#This Row],[Units_Sold]]*Table1[[#This Row],[Unit_Price]]</f>
        <v>116.43</v>
      </c>
      <c r="J286" s="1">
        <v>38.81</v>
      </c>
      <c r="K286" s="1">
        <v>0</v>
      </c>
      <c r="L286" s="1">
        <v>116.43</v>
      </c>
      <c r="M286" s="1">
        <v>53.32</v>
      </c>
      <c r="N286" s="1">
        <v>21</v>
      </c>
      <c r="O286" s="1" t="s">
        <v>19</v>
      </c>
      <c r="P286" s="1" t="s">
        <v>46</v>
      </c>
    </row>
    <row r="287" spans="1:16" x14ac:dyDescent="0.3">
      <c r="A287" s="1">
        <v>101033</v>
      </c>
      <c r="B287" s="2">
        <v>45609</v>
      </c>
      <c r="C287" s="1" t="s">
        <v>337</v>
      </c>
      <c r="D287" s="1" t="s">
        <v>34</v>
      </c>
      <c r="E287" s="1" t="s">
        <v>30</v>
      </c>
      <c r="F287" s="1" t="s">
        <v>1237</v>
      </c>
      <c r="G287" s="1" t="s">
        <v>48</v>
      </c>
      <c r="H287" s="1">
        <v>2</v>
      </c>
      <c r="I287" s="1">
        <f>Table1[[#This Row],[Units_Sold]]*Table1[[#This Row],[Unit_Price]]</f>
        <v>126.02</v>
      </c>
      <c r="J287" s="1">
        <v>63.01</v>
      </c>
      <c r="K287" s="1">
        <v>20</v>
      </c>
      <c r="L287" s="1">
        <v>100.82</v>
      </c>
      <c r="M287" s="1">
        <v>28.01</v>
      </c>
      <c r="N287" s="1">
        <v>24</v>
      </c>
      <c r="O287" s="1" t="s">
        <v>19</v>
      </c>
      <c r="P287" s="1" t="s">
        <v>35</v>
      </c>
    </row>
    <row r="288" spans="1:16" x14ac:dyDescent="0.3">
      <c r="A288" s="1">
        <v>100654</v>
      </c>
      <c r="B288" s="2">
        <v>45628</v>
      </c>
      <c r="C288" s="1" t="s">
        <v>338</v>
      </c>
      <c r="D288" s="1" t="s">
        <v>29</v>
      </c>
      <c r="E288" s="1" t="s">
        <v>30</v>
      </c>
      <c r="F288" s="1" t="s">
        <v>1237</v>
      </c>
      <c r="G288" s="1" t="s">
        <v>18</v>
      </c>
      <c r="H288" s="1">
        <v>5</v>
      </c>
      <c r="I288" s="1">
        <f>Table1[[#This Row],[Units_Sold]]*Table1[[#This Row],[Unit_Price]]</f>
        <v>93.550000000000011</v>
      </c>
      <c r="J288" s="1">
        <v>18.71</v>
      </c>
      <c r="K288" s="1">
        <v>5</v>
      </c>
      <c r="L288" s="1">
        <v>88.87</v>
      </c>
      <c r="M288" s="1">
        <v>26</v>
      </c>
      <c r="N288" s="1">
        <v>22</v>
      </c>
      <c r="O288" s="1" t="s">
        <v>26</v>
      </c>
      <c r="P288" s="1" t="s">
        <v>27</v>
      </c>
    </row>
    <row r="289" spans="1:16" x14ac:dyDescent="0.3">
      <c r="A289" s="1">
        <v>100843</v>
      </c>
      <c r="B289" s="2">
        <v>45010</v>
      </c>
      <c r="C289" s="1" t="s">
        <v>339</v>
      </c>
      <c r="D289" s="1" t="s">
        <v>24</v>
      </c>
      <c r="E289" s="1" t="s">
        <v>25</v>
      </c>
      <c r="F289" s="1" t="s">
        <v>1239</v>
      </c>
      <c r="G289" s="1" t="s">
        <v>31</v>
      </c>
      <c r="H289" s="1">
        <v>2</v>
      </c>
      <c r="I289" s="1">
        <f>Table1[[#This Row],[Units_Sold]]*Table1[[#This Row],[Unit_Price]]</f>
        <v>189.32</v>
      </c>
      <c r="J289" s="1">
        <v>94.66</v>
      </c>
      <c r="K289" s="1">
        <v>10</v>
      </c>
      <c r="L289" s="1">
        <v>170.39</v>
      </c>
      <c r="M289" s="1">
        <v>58.52</v>
      </c>
      <c r="N289" s="1">
        <v>16</v>
      </c>
      <c r="O289" s="1" t="s">
        <v>26</v>
      </c>
      <c r="P289" s="1" t="s">
        <v>43</v>
      </c>
    </row>
    <row r="290" spans="1:16" x14ac:dyDescent="0.3">
      <c r="A290" s="1">
        <v>100783</v>
      </c>
      <c r="B290" s="2">
        <v>45122</v>
      </c>
      <c r="C290" s="1" t="s">
        <v>340</v>
      </c>
      <c r="D290" s="1" t="s">
        <v>22</v>
      </c>
      <c r="E290" s="1" t="s">
        <v>17</v>
      </c>
      <c r="F290" s="1" t="s">
        <v>1238</v>
      </c>
      <c r="G290" s="1" t="s">
        <v>18</v>
      </c>
      <c r="H290" s="1">
        <v>3</v>
      </c>
      <c r="I290" s="1">
        <f>Table1[[#This Row],[Units_Sold]]*Table1[[#This Row],[Unit_Price]]</f>
        <v>68.34</v>
      </c>
      <c r="J290" s="1">
        <v>22.78</v>
      </c>
      <c r="K290" s="1">
        <v>5</v>
      </c>
      <c r="L290" s="1">
        <v>64.92</v>
      </c>
      <c r="M290" s="1">
        <v>19.72</v>
      </c>
      <c r="N290" s="1">
        <v>32</v>
      </c>
      <c r="O290" s="1" t="s">
        <v>19</v>
      </c>
      <c r="P290" s="1" t="s">
        <v>51</v>
      </c>
    </row>
    <row r="291" spans="1:16" x14ac:dyDescent="0.3">
      <c r="A291" s="1">
        <v>101073</v>
      </c>
      <c r="B291" s="2">
        <v>45639</v>
      </c>
      <c r="C291" s="1" t="s">
        <v>341</v>
      </c>
      <c r="D291" s="1" t="s">
        <v>34</v>
      </c>
      <c r="E291" s="1" t="s">
        <v>30</v>
      </c>
      <c r="F291" s="1" t="s">
        <v>1237</v>
      </c>
      <c r="G291" s="1" t="s">
        <v>31</v>
      </c>
      <c r="H291" s="1">
        <v>3</v>
      </c>
      <c r="I291" s="1">
        <f>Table1[[#This Row],[Units_Sold]]*Table1[[#This Row],[Unit_Price]]</f>
        <v>162.51</v>
      </c>
      <c r="J291" s="1">
        <v>54.17</v>
      </c>
      <c r="K291" s="1">
        <v>5</v>
      </c>
      <c r="L291" s="1">
        <v>154.38</v>
      </c>
      <c r="M291" s="1">
        <v>52.04</v>
      </c>
      <c r="N291" s="1">
        <v>32</v>
      </c>
      <c r="O291" s="1" t="s">
        <v>26</v>
      </c>
      <c r="P291" s="1" t="s">
        <v>35</v>
      </c>
    </row>
    <row r="292" spans="1:16" x14ac:dyDescent="0.3">
      <c r="A292" s="1">
        <v>100442</v>
      </c>
      <c r="B292" s="2">
        <v>45721</v>
      </c>
      <c r="C292" s="1" t="s">
        <v>342</v>
      </c>
      <c r="D292" s="1" t="s">
        <v>73</v>
      </c>
      <c r="E292" s="1" t="s">
        <v>25</v>
      </c>
      <c r="F292" s="1" t="s">
        <v>1241</v>
      </c>
      <c r="G292" s="1" t="s">
        <v>31</v>
      </c>
      <c r="H292" s="1">
        <v>2</v>
      </c>
      <c r="I292" s="1">
        <f>Table1[[#This Row],[Units_Sold]]*Table1[[#This Row],[Unit_Price]]</f>
        <v>70.400000000000006</v>
      </c>
      <c r="J292" s="1">
        <v>35.200000000000003</v>
      </c>
      <c r="K292" s="1">
        <v>5</v>
      </c>
      <c r="L292" s="1">
        <v>66.88</v>
      </c>
      <c r="M292" s="1">
        <v>17.920000000000002</v>
      </c>
      <c r="N292" s="1">
        <v>39</v>
      </c>
      <c r="O292" s="1" t="s">
        <v>26</v>
      </c>
      <c r="P292" s="1" t="s">
        <v>35</v>
      </c>
    </row>
    <row r="293" spans="1:16" x14ac:dyDescent="0.3">
      <c r="A293" s="1">
        <v>101177</v>
      </c>
      <c r="B293" s="2">
        <v>45364</v>
      </c>
      <c r="C293" s="1" t="s">
        <v>343</v>
      </c>
      <c r="D293" s="1" t="s">
        <v>29</v>
      </c>
      <c r="E293" s="1" t="s">
        <v>30</v>
      </c>
      <c r="F293" s="1" t="s">
        <v>1238</v>
      </c>
      <c r="G293" s="1" t="s">
        <v>18</v>
      </c>
      <c r="H293" s="1">
        <v>3</v>
      </c>
      <c r="I293" s="1">
        <f>Table1[[#This Row],[Units_Sold]]*Table1[[#This Row],[Unit_Price]]</f>
        <v>52.320000000000007</v>
      </c>
      <c r="J293" s="1">
        <v>17.440000000000001</v>
      </c>
      <c r="K293" s="1">
        <v>5</v>
      </c>
      <c r="L293" s="1">
        <v>49.7</v>
      </c>
      <c r="M293" s="1">
        <v>19.57</v>
      </c>
      <c r="N293" s="1">
        <v>28</v>
      </c>
      <c r="O293" s="1" t="s">
        <v>19</v>
      </c>
      <c r="P293" s="1" t="s">
        <v>32</v>
      </c>
    </row>
    <row r="294" spans="1:16" x14ac:dyDescent="0.3">
      <c r="A294" s="1">
        <v>100435</v>
      </c>
      <c r="B294" s="2">
        <v>45141</v>
      </c>
      <c r="C294" s="1" t="s">
        <v>344</v>
      </c>
      <c r="D294" s="1" t="s">
        <v>100</v>
      </c>
      <c r="E294" s="1" t="s">
        <v>25</v>
      </c>
      <c r="F294" s="1" t="s">
        <v>1237</v>
      </c>
      <c r="G294" s="1" t="s">
        <v>64</v>
      </c>
      <c r="H294" s="1">
        <v>6</v>
      </c>
      <c r="I294" s="1">
        <f>Table1[[#This Row],[Units_Sold]]*Table1[[#This Row],[Unit_Price]]</f>
        <v>974.04</v>
      </c>
      <c r="J294" s="1">
        <v>162.34</v>
      </c>
      <c r="K294" s="1">
        <v>0</v>
      </c>
      <c r="L294" s="1">
        <v>974.04</v>
      </c>
      <c r="M294" s="1">
        <v>303.42</v>
      </c>
      <c r="N294" s="1">
        <v>33</v>
      </c>
      <c r="O294" s="1" t="s">
        <v>26</v>
      </c>
      <c r="P294" s="1" t="s">
        <v>35</v>
      </c>
    </row>
    <row r="295" spans="1:16" x14ac:dyDescent="0.3">
      <c r="A295" s="1">
        <v>101168</v>
      </c>
      <c r="B295" s="2">
        <v>45520</v>
      </c>
      <c r="C295" s="1" t="s">
        <v>345</v>
      </c>
      <c r="D295" s="1" t="s">
        <v>56</v>
      </c>
      <c r="E295" s="1" t="s">
        <v>30</v>
      </c>
      <c r="F295" s="1" t="s">
        <v>1239</v>
      </c>
      <c r="G295" s="1" t="s">
        <v>18</v>
      </c>
      <c r="H295" s="1">
        <v>2</v>
      </c>
      <c r="I295" s="1">
        <f>Table1[[#This Row],[Units_Sold]]*Table1[[#This Row],[Unit_Price]]</f>
        <v>91.38</v>
      </c>
      <c r="J295" s="1">
        <v>45.69</v>
      </c>
      <c r="K295" s="1">
        <v>0</v>
      </c>
      <c r="L295" s="1">
        <v>91.38</v>
      </c>
      <c r="M295" s="1">
        <v>36.33</v>
      </c>
      <c r="N295" s="1">
        <v>26</v>
      </c>
      <c r="O295" s="1" t="s">
        <v>19</v>
      </c>
      <c r="P295" s="1" t="s">
        <v>43</v>
      </c>
    </row>
    <row r="296" spans="1:16" x14ac:dyDescent="0.3">
      <c r="A296" s="1">
        <v>100100</v>
      </c>
      <c r="B296" s="2">
        <v>45592</v>
      </c>
      <c r="C296" s="1" t="s">
        <v>346</v>
      </c>
      <c r="D296" s="1" t="s">
        <v>24</v>
      </c>
      <c r="E296" s="1" t="s">
        <v>25</v>
      </c>
      <c r="F296" s="1" t="s">
        <v>1239</v>
      </c>
      <c r="G296" s="1" t="s">
        <v>48</v>
      </c>
      <c r="H296" s="1">
        <v>4</v>
      </c>
      <c r="I296" s="1">
        <f>Table1[[#This Row],[Units_Sold]]*Table1[[#This Row],[Unit_Price]]</f>
        <v>391.88</v>
      </c>
      <c r="J296" s="1">
        <v>97.97</v>
      </c>
      <c r="K296" s="1">
        <v>0</v>
      </c>
      <c r="L296" s="1">
        <v>391.88</v>
      </c>
      <c r="M296" s="1">
        <v>115.9</v>
      </c>
      <c r="N296" s="1">
        <v>34</v>
      </c>
      <c r="O296" s="1" t="s">
        <v>26</v>
      </c>
      <c r="P296" s="1" t="s">
        <v>43</v>
      </c>
    </row>
    <row r="297" spans="1:16" x14ac:dyDescent="0.3">
      <c r="A297" s="1">
        <v>100772</v>
      </c>
      <c r="B297" s="2">
        <v>45805</v>
      </c>
      <c r="C297" s="1" t="s">
        <v>347</v>
      </c>
      <c r="D297" s="1" t="s">
        <v>29</v>
      </c>
      <c r="E297" s="1" t="s">
        <v>30</v>
      </c>
      <c r="F297" s="1" t="s">
        <v>1239</v>
      </c>
      <c r="G297" s="1" t="s">
        <v>18</v>
      </c>
      <c r="H297" s="1">
        <v>4</v>
      </c>
      <c r="I297" s="1">
        <f>Table1[[#This Row],[Units_Sold]]*Table1[[#This Row],[Unit_Price]]</f>
        <v>73.760000000000005</v>
      </c>
      <c r="J297" s="1">
        <v>18.440000000000001</v>
      </c>
      <c r="K297" s="1">
        <v>5</v>
      </c>
      <c r="L297" s="1">
        <v>70.069999999999993</v>
      </c>
      <c r="M297" s="1">
        <v>17.75</v>
      </c>
      <c r="N297" s="1">
        <v>28</v>
      </c>
      <c r="O297" s="1" t="s">
        <v>19</v>
      </c>
      <c r="P297" s="1" t="s">
        <v>20</v>
      </c>
    </row>
    <row r="298" spans="1:16" x14ac:dyDescent="0.3">
      <c r="A298" s="1">
        <v>100494</v>
      </c>
      <c r="B298" s="2">
        <v>45681</v>
      </c>
      <c r="C298" s="1" t="s">
        <v>348</v>
      </c>
      <c r="D298" s="1" t="s">
        <v>24</v>
      </c>
      <c r="E298" s="1" t="s">
        <v>25</v>
      </c>
      <c r="F298" s="1" t="s">
        <v>1238</v>
      </c>
      <c r="G298" s="1" t="s">
        <v>31</v>
      </c>
      <c r="H298" s="1">
        <v>2</v>
      </c>
      <c r="I298" s="1">
        <f>Table1[[#This Row],[Units_Sold]]*Table1[[#This Row],[Unit_Price]]</f>
        <v>174.98</v>
      </c>
      <c r="J298" s="1">
        <v>87.49</v>
      </c>
      <c r="K298" s="1">
        <v>0</v>
      </c>
      <c r="L298" s="1">
        <v>174.98</v>
      </c>
      <c r="M298" s="1">
        <v>60.66</v>
      </c>
      <c r="N298" s="1">
        <v>23</v>
      </c>
      <c r="O298" s="1" t="s">
        <v>19</v>
      </c>
      <c r="P298" s="1" t="s">
        <v>43</v>
      </c>
    </row>
    <row r="299" spans="1:16" x14ac:dyDescent="0.3">
      <c r="A299" s="1">
        <v>101027</v>
      </c>
      <c r="B299" s="2">
        <v>45599</v>
      </c>
      <c r="C299" s="1" t="s">
        <v>349</v>
      </c>
      <c r="D299" s="1" t="s">
        <v>29</v>
      </c>
      <c r="E299" s="1" t="s">
        <v>30</v>
      </c>
      <c r="F299" s="1" t="s">
        <v>1238</v>
      </c>
      <c r="G299" s="1" t="s">
        <v>18</v>
      </c>
      <c r="H299" s="1">
        <v>4</v>
      </c>
      <c r="I299" s="1">
        <f>Table1[[#This Row],[Units_Sold]]*Table1[[#This Row],[Unit_Price]]</f>
        <v>72.2</v>
      </c>
      <c r="J299" s="1">
        <v>18.05</v>
      </c>
      <c r="K299" s="1">
        <v>20</v>
      </c>
      <c r="L299" s="1">
        <v>57.76</v>
      </c>
      <c r="M299" s="1">
        <v>16.18</v>
      </c>
      <c r="N299" s="1">
        <v>26</v>
      </c>
      <c r="O299" s="1" t="s">
        <v>26</v>
      </c>
      <c r="P299" s="1" t="s">
        <v>51</v>
      </c>
    </row>
    <row r="300" spans="1:16" x14ac:dyDescent="0.3">
      <c r="A300" s="1">
        <v>100806</v>
      </c>
      <c r="B300" s="2">
        <v>45462</v>
      </c>
      <c r="C300" s="1" t="s">
        <v>350</v>
      </c>
      <c r="D300" s="1" t="s">
        <v>34</v>
      </c>
      <c r="E300" s="1" t="s">
        <v>30</v>
      </c>
      <c r="F300" s="1" t="s">
        <v>1241</v>
      </c>
      <c r="G300" s="1" t="s">
        <v>18</v>
      </c>
      <c r="H300" s="1">
        <v>3</v>
      </c>
      <c r="I300" s="1">
        <f>Table1[[#This Row],[Units_Sold]]*Table1[[#This Row],[Unit_Price]]</f>
        <v>173.91</v>
      </c>
      <c r="J300" s="1">
        <v>57.97</v>
      </c>
      <c r="K300" s="1">
        <v>5</v>
      </c>
      <c r="L300" s="1">
        <v>165.21</v>
      </c>
      <c r="M300" s="1">
        <v>38.729999999999997</v>
      </c>
      <c r="N300" s="1">
        <v>32</v>
      </c>
      <c r="O300" s="1" t="s">
        <v>26</v>
      </c>
      <c r="P300" s="1" t="s">
        <v>27</v>
      </c>
    </row>
    <row r="301" spans="1:16" x14ac:dyDescent="0.3">
      <c r="A301" s="1">
        <v>101141</v>
      </c>
      <c r="B301" s="2">
        <v>45790</v>
      </c>
      <c r="C301" s="1" t="s">
        <v>351</v>
      </c>
      <c r="D301" s="1" t="s">
        <v>59</v>
      </c>
      <c r="E301" s="1" t="s">
        <v>17</v>
      </c>
      <c r="F301" s="1" t="s">
        <v>1241</v>
      </c>
      <c r="G301" s="1" t="s">
        <v>18</v>
      </c>
      <c r="H301" s="1">
        <v>2</v>
      </c>
      <c r="I301" s="1">
        <f>Table1[[#This Row],[Units_Sold]]*Table1[[#This Row],[Unit_Price]]</f>
        <v>61.46</v>
      </c>
      <c r="J301" s="1">
        <v>30.73</v>
      </c>
      <c r="K301" s="1">
        <v>0</v>
      </c>
      <c r="L301" s="1">
        <v>61.46</v>
      </c>
      <c r="M301" s="1">
        <v>18.68</v>
      </c>
      <c r="N301" s="1">
        <v>31</v>
      </c>
      <c r="O301" s="1" t="s">
        <v>19</v>
      </c>
      <c r="P301" s="1" t="s">
        <v>35</v>
      </c>
    </row>
    <row r="302" spans="1:16" x14ac:dyDescent="0.3">
      <c r="A302" s="1">
        <v>100845</v>
      </c>
      <c r="B302" s="2">
        <v>45676</v>
      </c>
      <c r="C302" s="1" t="s">
        <v>352</v>
      </c>
      <c r="D302" s="1" t="s">
        <v>34</v>
      </c>
      <c r="E302" s="1" t="s">
        <v>30</v>
      </c>
      <c r="F302" s="1" t="s">
        <v>1241</v>
      </c>
      <c r="G302" s="1" t="s">
        <v>18</v>
      </c>
      <c r="H302" s="1">
        <v>3</v>
      </c>
      <c r="I302" s="1">
        <f>Table1[[#This Row],[Units_Sold]]*Table1[[#This Row],[Unit_Price]]</f>
        <v>183.81</v>
      </c>
      <c r="J302" s="1">
        <v>61.27</v>
      </c>
      <c r="K302" s="1">
        <v>0</v>
      </c>
      <c r="L302" s="1">
        <v>183.81</v>
      </c>
      <c r="M302" s="1">
        <v>62.6</v>
      </c>
      <c r="N302" s="1">
        <v>33</v>
      </c>
      <c r="O302" s="1" t="s">
        <v>19</v>
      </c>
      <c r="P302" s="1" t="s">
        <v>35</v>
      </c>
    </row>
    <row r="303" spans="1:16" x14ac:dyDescent="0.3">
      <c r="A303" s="1">
        <v>100986</v>
      </c>
      <c r="B303" s="2">
        <v>45441</v>
      </c>
      <c r="C303" s="1" t="s">
        <v>353</v>
      </c>
      <c r="D303" s="1" t="s">
        <v>87</v>
      </c>
      <c r="E303" s="1" t="s">
        <v>25</v>
      </c>
      <c r="F303" s="1" t="s">
        <v>1239</v>
      </c>
      <c r="G303" s="1" t="s">
        <v>31</v>
      </c>
      <c r="H303" s="1">
        <v>1</v>
      </c>
      <c r="I303" s="1">
        <f>Table1[[#This Row],[Units_Sold]]*Table1[[#This Row],[Unit_Price]]</f>
        <v>80.89</v>
      </c>
      <c r="J303" s="1">
        <v>80.89</v>
      </c>
      <c r="K303" s="1">
        <v>40</v>
      </c>
      <c r="L303" s="1">
        <v>48.53</v>
      </c>
      <c r="M303" s="1">
        <v>16.34</v>
      </c>
      <c r="N303" s="1">
        <v>19</v>
      </c>
      <c r="O303" s="1" t="s">
        <v>19</v>
      </c>
      <c r="P303" s="1" t="s">
        <v>51</v>
      </c>
    </row>
    <row r="304" spans="1:16" x14ac:dyDescent="0.3">
      <c r="A304" s="1">
        <v>100227</v>
      </c>
      <c r="B304" s="2">
        <v>45241</v>
      </c>
      <c r="C304" s="1" t="s">
        <v>354</v>
      </c>
      <c r="D304" s="1" t="s">
        <v>42</v>
      </c>
      <c r="E304" s="1" t="s">
        <v>25</v>
      </c>
      <c r="F304" s="1" t="s">
        <v>1238</v>
      </c>
      <c r="G304" s="1" t="s">
        <v>48</v>
      </c>
      <c r="H304" s="1">
        <v>5</v>
      </c>
      <c r="I304" s="1">
        <f>Table1[[#This Row],[Units_Sold]]*Table1[[#This Row],[Unit_Price]]</f>
        <v>828.19999999999993</v>
      </c>
      <c r="J304" s="1">
        <v>165.64</v>
      </c>
      <c r="K304" s="1">
        <v>5</v>
      </c>
      <c r="L304" s="1">
        <v>786.79</v>
      </c>
      <c r="M304" s="1">
        <v>254.6</v>
      </c>
      <c r="N304" s="1">
        <v>31</v>
      </c>
      <c r="O304" s="1" t="s">
        <v>19</v>
      </c>
      <c r="P304" s="1" t="s">
        <v>20</v>
      </c>
    </row>
    <row r="305" spans="1:16" x14ac:dyDescent="0.3">
      <c r="A305" s="1">
        <v>101192</v>
      </c>
      <c r="B305" s="2">
        <v>45059</v>
      </c>
      <c r="C305" s="1" t="s">
        <v>355</v>
      </c>
      <c r="D305" s="1" t="s">
        <v>66</v>
      </c>
      <c r="E305" s="1" t="s">
        <v>17</v>
      </c>
      <c r="F305" s="1" t="s">
        <v>1237</v>
      </c>
      <c r="G305" s="1" t="s">
        <v>31</v>
      </c>
      <c r="H305" s="1">
        <v>3</v>
      </c>
      <c r="I305" s="1">
        <f>Table1[[#This Row],[Units_Sold]]*Table1[[#This Row],[Unit_Price]]</f>
        <v>420.21</v>
      </c>
      <c r="J305" s="1">
        <v>140.07</v>
      </c>
      <c r="K305" s="1">
        <v>0</v>
      </c>
      <c r="L305" s="1">
        <v>420.21</v>
      </c>
      <c r="M305" s="1">
        <v>138.38999999999999</v>
      </c>
      <c r="N305" s="1">
        <v>16</v>
      </c>
      <c r="O305" s="1" t="s">
        <v>19</v>
      </c>
      <c r="P305" s="1" t="s">
        <v>27</v>
      </c>
    </row>
    <row r="306" spans="1:16" x14ac:dyDescent="0.3">
      <c r="A306" s="1">
        <v>100671</v>
      </c>
      <c r="B306" s="2">
        <v>45782</v>
      </c>
      <c r="C306" s="1" t="s">
        <v>356</v>
      </c>
      <c r="D306" s="1" t="s">
        <v>77</v>
      </c>
      <c r="E306" s="1" t="s">
        <v>30</v>
      </c>
      <c r="F306" s="1" t="s">
        <v>1237</v>
      </c>
      <c r="G306" s="1" t="s">
        <v>18</v>
      </c>
      <c r="H306" s="1">
        <v>3</v>
      </c>
      <c r="I306" s="1">
        <f>Table1[[#This Row],[Units_Sold]]*Table1[[#This Row],[Unit_Price]]</f>
        <v>131.34</v>
      </c>
      <c r="J306" s="1">
        <v>43.78</v>
      </c>
      <c r="K306" s="1">
        <v>10</v>
      </c>
      <c r="L306" s="1">
        <v>118.21</v>
      </c>
      <c r="M306" s="1">
        <v>58.07</v>
      </c>
      <c r="N306" s="1">
        <v>18</v>
      </c>
      <c r="O306" s="1" t="s">
        <v>19</v>
      </c>
      <c r="P306" s="1" t="s">
        <v>51</v>
      </c>
    </row>
    <row r="307" spans="1:16" x14ac:dyDescent="0.3">
      <c r="A307" s="1">
        <v>100858</v>
      </c>
      <c r="B307" s="2">
        <v>45084</v>
      </c>
      <c r="C307" s="1" t="s">
        <v>357</v>
      </c>
      <c r="D307" s="1" t="s">
        <v>16</v>
      </c>
      <c r="E307" s="1" t="s">
        <v>17</v>
      </c>
      <c r="F307" s="1" t="s">
        <v>1237</v>
      </c>
      <c r="G307" s="1" t="s">
        <v>18</v>
      </c>
      <c r="H307" s="1">
        <v>4</v>
      </c>
      <c r="I307" s="1">
        <f>Table1[[#This Row],[Units_Sold]]*Table1[[#This Row],[Unit_Price]]</f>
        <v>206.8</v>
      </c>
      <c r="J307" s="1">
        <v>51.7</v>
      </c>
      <c r="K307" s="1">
        <v>0</v>
      </c>
      <c r="L307" s="1">
        <v>206.8</v>
      </c>
      <c r="M307" s="1">
        <v>55.16</v>
      </c>
      <c r="N307" s="1">
        <v>25</v>
      </c>
      <c r="O307" s="1" t="s">
        <v>19</v>
      </c>
      <c r="P307" s="1" t="s">
        <v>35</v>
      </c>
    </row>
    <row r="308" spans="1:16" x14ac:dyDescent="0.3">
      <c r="A308" s="1">
        <v>100924</v>
      </c>
      <c r="B308" s="2">
        <v>45516</v>
      </c>
      <c r="C308" s="1" t="s">
        <v>358</v>
      </c>
      <c r="D308" s="1" t="s">
        <v>70</v>
      </c>
      <c r="E308" s="1" t="s">
        <v>25</v>
      </c>
      <c r="F308" s="1" t="s">
        <v>1241</v>
      </c>
      <c r="G308" s="1" t="s">
        <v>48</v>
      </c>
      <c r="H308" s="1">
        <v>2</v>
      </c>
      <c r="I308" s="1">
        <f>Table1[[#This Row],[Units_Sold]]*Table1[[#This Row],[Unit_Price]]</f>
        <v>298.2</v>
      </c>
      <c r="J308" s="1">
        <v>149.1</v>
      </c>
      <c r="K308" s="1">
        <v>0</v>
      </c>
      <c r="L308" s="1">
        <v>298.2</v>
      </c>
      <c r="M308" s="1">
        <v>76.67</v>
      </c>
      <c r="N308" s="1">
        <v>29</v>
      </c>
      <c r="O308" s="1" t="s">
        <v>26</v>
      </c>
      <c r="P308" s="1" t="s">
        <v>20</v>
      </c>
    </row>
    <row r="309" spans="1:16" x14ac:dyDescent="0.3">
      <c r="A309" s="1">
        <v>100066</v>
      </c>
      <c r="B309" s="2">
        <v>45472</v>
      </c>
      <c r="C309" s="1" t="s">
        <v>359</v>
      </c>
      <c r="D309" s="1" t="s">
        <v>34</v>
      </c>
      <c r="E309" s="1" t="s">
        <v>30</v>
      </c>
      <c r="F309" s="1" t="s">
        <v>1241</v>
      </c>
      <c r="G309" s="1" t="s">
        <v>31</v>
      </c>
      <c r="H309" s="1">
        <v>1</v>
      </c>
      <c r="I309" s="1">
        <f>Table1[[#This Row],[Units_Sold]]*Table1[[#This Row],[Unit_Price]]</f>
        <v>64.12</v>
      </c>
      <c r="J309" s="1">
        <v>64.12</v>
      </c>
      <c r="K309" s="1">
        <v>0</v>
      </c>
      <c r="L309" s="1">
        <v>64.12</v>
      </c>
      <c r="M309" s="1">
        <v>20.440000000000001</v>
      </c>
      <c r="N309" s="1">
        <v>27</v>
      </c>
      <c r="O309" s="1" t="s">
        <v>26</v>
      </c>
      <c r="P309" s="1" t="s">
        <v>32</v>
      </c>
    </row>
    <row r="310" spans="1:16" x14ac:dyDescent="0.3">
      <c r="A310" s="1">
        <v>100067</v>
      </c>
      <c r="B310" s="2">
        <v>45370</v>
      </c>
      <c r="C310" s="1" t="s">
        <v>360</v>
      </c>
      <c r="D310" s="1" t="s">
        <v>59</v>
      </c>
      <c r="E310" s="1" t="s">
        <v>17</v>
      </c>
      <c r="F310" s="1" t="s">
        <v>1237</v>
      </c>
      <c r="G310" s="1" t="s">
        <v>31</v>
      </c>
      <c r="H310" s="1">
        <v>2</v>
      </c>
      <c r="I310" s="1">
        <f>Table1[[#This Row],[Units_Sold]]*Table1[[#This Row],[Unit_Price]]</f>
        <v>59.98</v>
      </c>
      <c r="J310" s="1">
        <v>29.99</v>
      </c>
      <c r="K310" s="1">
        <v>0</v>
      </c>
      <c r="L310" s="1">
        <v>59.98</v>
      </c>
      <c r="M310" s="1">
        <v>21.37</v>
      </c>
      <c r="N310" s="1">
        <v>36</v>
      </c>
      <c r="O310" s="1" t="s">
        <v>26</v>
      </c>
      <c r="P310" s="1" t="s">
        <v>20</v>
      </c>
    </row>
    <row r="311" spans="1:16" x14ac:dyDescent="0.3">
      <c r="A311" s="1">
        <v>100816</v>
      </c>
      <c r="B311" s="2">
        <v>45032</v>
      </c>
      <c r="C311" s="1" t="s">
        <v>361</v>
      </c>
      <c r="D311" s="1" t="s">
        <v>34</v>
      </c>
      <c r="E311" s="1" t="s">
        <v>30</v>
      </c>
      <c r="F311" s="1" t="s">
        <v>1239</v>
      </c>
      <c r="G311" s="1" t="s">
        <v>31</v>
      </c>
      <c r="H311" s="1">
        <v>5</v>
      </c>
      <c r="I311" s="1">
        <f>Table1[[#This Row],[Units_Sold]]*Table1[[#This Row],[Unit_Price]]</f>
        <v>290.14999999999998</v>
      </c>
      <c r="J311" s="1">
        <v>58.03</v>
      </c>
      <c r="K311" s="1">
        <v>0</v>
      </c>
      <c r="L311" s="1">
        <v>290.14999999999998</v>
      </c>
      <c r="M311" s="1">
        <v>101.53</v>
      </c>
      <c r="N311" s="1">
        <v>25</v>
      </c>
      <c r="O311" s="1" t="s">
        <v>19</v>
      </c>
      <c r="P311" s="1" t="s">
        <v>20</v>
      </c>
    </row>
    <row r="312" spans="1:16" x14ac:dyDescent="0.3">
      <c r="A312" s="1">
        <v>100211</v>
      </c>
      <c r="B312" s="2">
        <v>45458</v>
      </c>
      <c r="C312" s="1" t="s">
        <v>362</v>
      </c>
      <c r="D312" s="1" t="s">
        <v>73</v>
      </c>
      <c r="E312" s="1" t="s">
        <v>25</v>
      </c>
      <c r="F312" s="1" t="s">
        <v>1240</v>
      </c>
      <c r="G312" s="1" t="s">
        <v>31</v>
      </c>
      <c r="H312" s="1">
        <v>3</v>
      </c>
      <c r="I312" s="1">
        <f>Table1[[#This Row],[Units_Sold]]*Table1[[#This Row],[Unit_Price]]</f>
        <v>121.08</v>
      </c>
      <c r="J312" s="1">
        <v>40.36</v>
      </c>
      <c r="K312" s="1">
        <v>0</v>
      </c>
      <c r="L312" s="1">
        <v>121.08</v>
      </c>
      <c r="M312" s="1">
        <v>36.14</v>
      </c>
      <c r="N312" s="1">
        <v>46</v>
      </c>
      <c r="O312" s="1" t="s">
        <v>26</v>
      </c>
      <c r="P312" s="1" t="s">
        <v>35</v>
      </c>
    </row>
    <row r="313" spans="1:16" x14ac:dyDescent="0.3">
      <c r="A313" s="1">
        <v>100012</v>
      </c>
      <c r="B313" s="2">
        <v>45714</v>
      </c>
      <c r="C313" s="1" t="s">
        <v>363</v>
      </c>
      <c r="D313" s="1" t="s">
        <v>66</v>
      </c>
      <c r="E313" s="1" t="s">
        <v>17</v>
      </c>
      <c r="F313" s="1" t="s">
        <v>1238</v>
      </c>
      <c r="G313" s="1" t="s">
        <v>31</v>
      </c>
      <c r="H313" s="1">
        <v>2</v>
      </c>
      <c r="I313" s="1">
        <f>Table1[[#This Row],[Units_Sold]]*Table1[[#This Row],[Unit_Price]]</f>
        <v>246.36</v>
      </c>
      <c r="J313" s="1">
        <v>123.18</v>
      </c>
      <c r="K313" s="1">
        <v>10</v>
      </c>
      <c r="L313" s="1">
        <v>221.72</v>
      </c>
      <c r="M313" s="1">
        <v>75.06</v>
      </c>
      <c r="N313" s="1">
        <v>21</v>
      </c>
      <c r="O313" s="1" t="s">
        <v>19</v>
      </c>
      <c r="P313" s="1" t="s">
        <v>20</v>
      </c>
    </row>
    <row r="314" spans="1:16" x14ac:dyDescent="0.3">
      <c r="A314" s="1">
        <v>100493</v>
      </c>
      <c r="B314" s="2">
        <v>45926</v>
      </c>
      <c r="C314" s="1" t="s">
        <v>364</v>
      </c>
      <c r="D314" s="1" t="s">
        <v>42</v>
      </c>
      <c r="E314" s="1" t="s">
        <v>25</v>
      </c>
      <c r="F314" s="1" t="s">
        <v>1241</v>
      </c>
      <c r="G314" s="1" t="s">
        <v>18</v>
      </c>
      <c r="H314" s="1">
        <v>5</v>
      </c>
      <c r="I314" s="1">
        <f>Table1[[#This Row],[Units_Sold]]*Table1[[#This Row],[Unit_Price]]</f>
        <v>819.9</v>
      </c>
      <c r="J314" s="1">
        <v>163.98</v>
      </c>
      <c r="K314" s="1">
        <v>10</v>
      </c>
      <c r="L314" s="1">
        <v>737.91</v>
      </c>
      <c r="M314" s="1">
        <v>217.96</v>
      </c>
      <c r="N314" s="1">
        <v>20</v>
      </c>
      <c r="O314" s="1" t="s">
        <v>19</v>
      </c>
      <c r="P314" s="1" t="s">
        <v>32</v>
      </c>
    </row>
    <row r="315" spans="1:16" x14ac:dyDescent="0.3">
      <c r="A315" s="1">
        <v>101164</v>
      </c>
      <c r="B315" s="2">
        <v>45042</v>
      </c>
      <c r="C315" s="1" t="s">
        <v>365</v>
      </c>
      <c r="D315" s="1" t="s">
        <v>22</v>
      </c>
      <c r="E315" s="1" t="s">
        <v>17</v>
      </c>
      <c r="F315" s="1" t="s">
        <v>1237</v>
      </c>
      <c r="G315" s="1" t="s">
        <v>18</v>
      </c>
      <c r="H315" s="1">
        <v>2</v>
      </c>
      <c r="I315" s="1">
        <f>Table1[[#This Row],[Units_Sold]]*Table1[[#This Row],[Unit_Price]]</f>
        <v>45.36</v>
      </c>
      <c r="J315" s="1">
        <v>22.68</v>
      </c>
      <c r="K315" s="1">
        <v>0</v>
      </c>
      <c r="L315" s="1">
        <v>45.36</v>
      </c>
      <c r="M315" s="1">
        <v>17.010000000000002</v>
      </c>
      <c r="N315" s="1">
        <v>29</v>
      </c>
      <c r="O315" s="1" t="s">
        <v>19</v>
      </c>
      <c r="P315" s="1" t="s">
        <v>51</v>
      </c>
    </row>
    <row r="316" spans="1:16" x14ac:dyDescent="0.3">
      <c r="A316" s="1">
        <v>100299</v>
      </c>
      <c r="B316" s="2">
        <v>45808</v>
      </c>
      <c r="C316" s="1" t="s">
        <v>366</v>
      </c>
      <c r="D316" s="1" t="s">
        <v>100</v>
      </c>
      <c r="E316" s="1" t="s">
        <v>25</v>
      </c>
      <c r="F316" s="1" t="s">
        <v>1241</v>
      </c>
      <c r="G316" s="1" t="s">
        <v>18</v>
      </c>
      <c r="H316" s="1">
        <v>3</v>
      </c>
      <c r="I316" s="1">
        <f>Table1[[#This Row],[Units_Sold]]*Table1[[#This Row],[Unit_Price]]</f>
        <v>388.89</v>
      </c>
      <c r="J316" s="1">
        <v>129.63</v>
      </c>
      <c r="K316" s="1">
        <v>0</v>
      </c>
      <c r="L316" s="1">
        <v>388.89</v>
      </c>
      <c r="M316" s="1">
        <v>108.37</v>
      </c>
      <c r="N316" s="1">
        <v>25</v>
      </c>
      <c r="O316" s="1" t="s">
        <v>26</v>
      </c>
      <c r="P316" s="1" t="s">
        <v>51</v>
      </c>
    </row>
    <row r="317" spans="1:16" x14ac:dyDescent="0.3">
      <c r="A317" s="1">
        <v>100410</v>
      </c>
      <c r="B317" s="2">
        <v>45216</v>
      </c>
      <c r="C317" s="1" t="s">
        <v>367</v>
      </c>
      <c r="D317" s="1" t="s">
        <v>87</v>
      </c>
      <c r="E317" s="1" t="s">
        <v>25</v>
      </c>
      <c r="F317" s="1" t="s">
        <v>1238</v>
      </c>
      <c r="G317" s="1" t="s">
        <v>31</v>
      </c>
      <c r="H317" s="1">
        <v>3</v>
      </c>
      <c r="I317" s="1">
        <f>Table1[[#This Row],[Units_Sold]]*Table1[[#This Row],[Unit_Price]]</f>
        <v>222.20999999999998</v>
      </c>
      <c r="J317" s="1">
        <v>74.069999999999993</v>
      </c>
      <c r="K317" s="1">
        <v>0</v>
      </c>
      <c r="L317" s="1">
        <v>222.21</v>
      </c>
      <c r="M317" s="1">
        <v>68.72</v>
      </c>
      <c r="N317" s="1">
        <v>36</v>
      </c>
      <c r="O317" s="1" t="s">
        <v>19</v>
      </c>
      <c r="P317" s="1" t="s">
        <v>51</v>
      </c>
    </row>
    <row r="318" spans="1:16" x14ac:dyDescent="0.3">
      <c r="A318" s="1">
        <v>100756</v>
      </c>
      <c r="B318" s="2">
        <v>45221</v>
      </c>
      <c r="C318" s="1" t="s">
        <v>368</v>
      </c>
      <c r="D318" s="1" t="s">
        <v>22</v>
      </c>
      <c r="E318" s="1" t="s">
        <v>17</v>
      </c>
      <c r="F318" s="1" t="s">
        <v>1240</v>
      </c>
      <c r="G318" s="1" t="s">
        <v>18</v>
      </c>
      <c r="H318" s="1">
        <v>4</v>
      </c>
      <c r="I318" s="1">
        <f>Table1[[#This Row],[Units_Sold]]*Table1[[#This Row],[Unit_Price]]</f>
        <v>99.84</v>
      </c>
      <c r="J318" s="1">
        <v>24.96</v>
      </c>
      <c r="K318" s="1">
        <v>10</v>
      </c>
      <c r="L318" s="1">
        <v>89.86</v>
      </c>
      <c r="M318" s="1">
        <v>21.45</v>
      </c>
      <c r="N318" s="1">
        <v>37</v>
      </c>
      <c r="O318" s="1" t="s">
        <v>26</v>
      </c>
      <c r="P318" s="1" t="s">
        <v>27</v>
      </c>
    </row>
    <row r="319" spans="1:16" x14ac:dyDescent="0.3">
      <c r="A319" s="1">
        <v>101074</v>
      </c>
      <c r="B319" s="2">
        <v>45301</v>
      </c>
      <c r="C319" s="1" t="s">
        <v>369</v>
      </c>
      <c r="D319" s="1" t="s">
        <v>68</v>
      </c>
      <c r="E319" s="1" t="s">
        <v>25</v>
      </c>
      <c r="F319" s="1" t="s">
        <v>1241</v>
      </c>
      <c r="G319" s="1" t="s">
        <v>31</v>
      </c>
      <c r="H319" s="1">
        <v>3</v>
      </c>
      <c r="I319" s="1">
        <f>Table1[[#This Row],[Units_Sold]]*Table1[[#This Row],[Unit_Price]]</f>
        <v>657.03</v>
      </c>
      <c r="J319" s="1">
        <v>219.01</v>
      </c>
      <c r="K319" s="1">
        <v>10</v>
      </c>
      <c r="L319" s="1">
        <v>591.33000000000004</v>
      </c>
      <c r="M319" s="1">
        <v>166.09</v>
      </c>
      <c r="N319" s="1">
        <v>34</v>
      </c>
      <c r="O319" s="1" t="s">
        <v>19</v>
      </c>
      <c r="P319" s="1" t="s">
        <v>35</v>
      </c>
    </row>
    <row r="320" spans="1:16" x14ac:dyDescent="0.3">
      <c r="A320" s="1">
        <v>100695</v>
      </c>
      <c r="B320" s="2">
        <v>45680</v>
      </c>
      <c r="C320" s="1" t="s">
        <v>370</v>
      </c>
      <c r="D320" s="1" t="s">
        <v>70</v>
      </c>
      <c r="E320" s="1" t="s">
        <v>25</v>
      </c>
      <c r="F320" s="1" t="s">
        <v>1239</v>
      </c>
      <c r="G320" s="1" t="s">
        <v>18</v>
      </c>
      <c r="H320" s="1">
        <v>3</v>
      </c>
      <c r="I320" s="1">
        <f>Table1[[#This Row],[Units_Sold]]*Table1[[#This Row],[Unit_Price]]</f>
        <v>488.52</v>
      </c>
      <c r="J320" s="1">
        <v>162.84</v>
      </c>
      <c r="K320" s="1">
        <v>0</v>
      </c>
      <c r="L320" s="1">
        <v>488.52</v>
      </c>
      <c r="M320" s="1">
        <v>148.62</v>
      </c>
      <c r="N320" s="1">
        <v>43</v>
      </c>
      <c r="O320" s="1" t="s">
        <v>26</v>
      </c>
      <c r="P320" s="1" t="s">
        <v>32</v>
      </c>
    </row>
    <row r="321" spans="1:16" x14ac:dyDescent="0.3">
      <c r="A321" s="1">
        <v>101150</v>
      </c>
      <c r="B321" s="2">
        <v>45725</v>
      </c>
      <c r="C321" s="1" t="s">
        <v>371</v>
      </c>
      <c r="D321" s="1" t="s">
        <v>62</v>
      </c>
      <c r="E321" s="1" t="s">
        <v>17</v>
      </c>
      <c r="F321" s="1" t="s">
        <v>1241</v>
      </c>
      <c r="G321" s="1" t="s">
        <v>18</v>
      </c>
      <c r="H321" s="1">
        <v>2</v>
      </c>
      <c r="I321" s="1">
        <f>Table1[[#This Row],[Units_Sold]]*Table1[[#This Row],[Unit_Price]]</f>
        <v>280.98</v>
      </c>
      <c r="J321" s="1">
        <v>140.49</v>
      </c>
      <c r="K321" s="1">
        <v>20</v>
      </c>
      <c r="L321" s="1">
        <v>224.78</v>
      </c>
      <c r="M321" s="1">
        <v>75.83</v>
      </c>
      <c r="N321" s="1">
        <v>29</v>
      </c>
      <c r="O321" s="1" t="s">
        <v>26</v>
      </c>
      <c r="P321" s="1" t="s">
        <v>27</v>
      </c>
    </row>
    <row r="322" spans="1:16" x14ac:dyDescent="0.3">
      <c r="A322" s="1">
        <v>100723</v>
      </c>
      <c r="B322" s="2">
        <v>45094</v>
      </c>
      <c r="C322" s="1" t="s">
        <v>372</v>
      </c>
      <c r="D322" s="1" t="s">
        <v>70</v>
      </c>
      <c r="E322" s="1" t="s">
        <v>25</v>
      </c>
      <c r="F322" s="1" t="s">
        <v>1238</v>
      </c>
      <c r="G322" s="1" t="s">
        <v>48</v>
      </c>
      <c r="H322" s="1">
        <v>3</v>
      </c>
      <c r="I322" s="1">
        <f>Table1[[#This Row],[Units_Sold]]*Table1[[#This Row],[Unit_Price]]</f>
        <v>442.32</v>
      </c>
      <c r="J322" s="1">
        <v>147.44</v>
      </c>
      <c r="K322" s="1">
        <v>40</v>
      </c>
      <c r="L322" s="1">
        <v>265.39</v>
      </c>
      <c r="M322" s="1">
        <v>83.86</v>
      </c>
      <c r="N322" s="1">
        <v>43</v>
      </c>
      <c r="O322" s="1" t="s">
        <v>26</v>
      </c>
      <c r="P322" s="1" t="s">
        <v>20</v>
      </c>
    </row>
    <row r="323" spans="1:16" x14ac:dyDescent="0.3">
      <c r="A323" s="1">
        <v>101015</v>
      </c>
      <c r="B323" s="2">
        <v>45209</v>
      </c>
      <c r="C323" s="1" t="s">
        <v>373</v>
      </c>
      <c r="D323" s="1" t="s">
        <v>34</v>
      </c>
      <c r="E323" s="1" t="s">
        <v>30</v>
      </c>
      <c r="F323" s="1" t="s">
        <v>1237</v>
      </c>
      <c r="G323" s="1" t="s">
        <v>64</v>
      </c>
      <c r="H323" s="1">
        <v>3</v>
      </c>
      <c r="I323" s="1">
        <f>Table1[[#This Row],[Units_Sold]]*Table1[[#This Row],[Unit_Price]]</f>
        <v>179.22</v>
      </c>
      <c r="J323" s="1">
        <v>59.74</v>
      </c>
      <c r="K323" s="1">
        <v>0</v>
      </c>
      <c r="L323" s="1">
        <v>179.22</v>
      </c>
      <c r="M323" s="1">
        <v>59.57</v>
      </c>
      <c r="N323" s="1">
        <v>20</v>
      </c>
      <c r="O323" s="1" t="s">
        <v>26</v>
      </c>
      <c r="P323" s="1" t="s">
        <v>27</v>
      </c>
    </row>
    <row r="324" spans="1:16" x14ac:dyDescent="0.3">
      <c r="A324" s="1">
        <v>100527</v>
      </c>
      <c r="B324" s="2">
        <v>45094</v>
      </c>
      <c r="C324" s="1" t="s">
        <v>374</v>
      </c>
      <c r="D324" s="1" t="s">
        <v>62</v>
      </c>
      <c r="E324" s="1" t="s">
        <v>17</v>
      </c>
      <c r="F324" s="1" t="s">
        <v>1241</v>
      </c>
      <c r="G324" s="1" t="s">
        <v>18</v>
      </c>
      <c r="H324" s="1">
        <v>2</v>
      </c>
      <c r="I324" s="1">
        <f>Table1[[#This Row],[Units_Sold]]*Table1[[#This Row],[Unit_Price]]</f>
        <v>298.94</v>
      </c>
      <c r="J324" s="1">
        <v>149.47</v>
      </c>
      <c r="K324" s="1">
        <v>0</v>
      </c>
      <c r="L324" s="1">
        <v>298.94</v>
      </c>
      <c r="M324" s="1">
        <v>82.76</v>
      </c>
      <c r="N324" s="1">
        <v>43</v>
      </c>
      <c r="O324" s="1" t="s">
        <v>19</v>
      </c>
      <c r="P324" s="1" t="s">
        <v>20</v>
      </c>
    </row>
    <row r="325" spans="1:16" x14ac:dyDescent="0.3">
      <c r="A325" s="1">
        <v>100599</v>
      </c>
      <c r="B325" s="2">
        <v>45880</v>
      </c>
      <c r="C325" s="1" t="s">
        <v>375</v>
      </c>
      <c r="D325" s="1" t="s">
        <v>70</v>
      </c>
      <c r="E325" s="1" t="s">
        <v>25</v>
      </c>
      <c r="F325" s="1" t="s">
        <v>1241</v>
      </c>
      <c r="G325" s="1" t="s">
        <v>18</v>
      </c>
      <c r="H325" s="1">
        <v>4</v>
      </c>
      <c r="I325" s="1">
        <f>Table1[[#This Row],[Units_Sold]]*Table1[[#This Row],[Unit_Price]]</f>
        <v>620.44000000000005</v>
      </c>
      <c r="J325" s="1">
        <v>155.11000000000001</v>
      </c>
      <c r="K325" s="1">
        <v>10</v>
      </c>
      <c r="L325" s="1">
        <v>558.4</v>
      </c>
      <c r="M325" s="1">
        <v>140.93</v>
      </c>
      <c r="N325" s="1">
        <v>24</v>
      </c>
      <c r="O325" s="1" t="s">
        <v>26</v>
      </c>
      <c r="P325" s="1" t="s">
        <v>27</v>
      </c>
    </row>
    <row r="326" spans="1:16" x14ac:dyDescent="0.3">
      <c r="A326" s="1">
        <v>101119</v>
      </c>
      <c r="B326" s="2">
        <v>45512</v>
      </c>
      <c r="C326" s="1" t="s">
        <v>376</v>
      </c>
      <c r="D326" s="1" t="s">
        <v>62</v>
      </c>
      <c r="E326" s="1" t="s">
        <v>17</v>
      </c>
      <c r="F326" s="1" t="s">
        <v>1237</v>
      </c>
      <c r="G326" s="1" t="s">
        <v>64</v>
      </c>
      <c r="H326" s="1">
        <v>3</v>
      </c>
      <c r="I326" s="1">
        <f>Table1[[#This Row],[Units_Sold]]*Table1[[#This Row],[Unit_Price]]</f>
        <v>480.78</v>
      </c>
      <c r="J326" s="1">
        <v>160.26</v>
      </c>
      <c r="K326" s="1">
        <v>10</v>
      </c>
      <c r="L326" s="1">
        <v>432.7</v>
      </c>
      <c r="M326" s="1">
        <v>138.96</v>
      </c>
      <c r="N326" s="1">
        <v>16</v>
      </c>
      <c r="O326" s="1" t="s">
        <v>19</v>
      </c>
      <c r="P326" s="1" t="s">
        <v>43</v>
      </c>
    </row>
    <row r="327" spans="1:16" x14ac:dyDescent="0.3">
      <c r="A327" s="1">
        <v>100566</v>
      </c>
      <c r="B327" s="2">
        <v>45565</v>
      </c>
      <c r="C327" s="1" t="s">
        <v>377</v>
      </c>
      <c r="D327" s="1" t="s">
        <v>68</v>
      </c>
      <c r="E327" s="1" t="s">
        <v>25</v>
      </c>
      <c r="F327" s="1" t="s">
        <v>1239</v>
      </c>
      <c r="G327" s="1" t="s">
        <v>18</v>
      </c>
      <c r="H327" s="1">
        <v>3</v>
      </c>
      <c r="I327" s="1">
        <f>Table1[[#This Row],[Units_Sold]]*Table1[[#This Row],[Unit_Price]]</f>
        <v>633.09</v>
      </c>
      <c r="J327" s="1">
        <v>211.03</v>
      </c>
      <c r="K327" s="1">
        <v>5</v>
      </c>
      <c r="L327" s="1">
        <v>601.44000000000005</v>
      </c>
      <c r="M327" s="1">
        <v>181.47</v>
      </c>
      <c r="N327" s="1">
        <v>31</v>
      </c>
      <c r="O327" s="1" t="s">
        <v>19</v>
      </c>
      <c r="P327" s="1" t="s">
        <v>35</v>
      </c>
    </row>
    <row r="328" spans="1:16" x14ac:dyDescent="0.3">
      <c r="A328" s="1">
        <v>100730</v>
      </c>
      <c r="B328" s="2">
        <v>45634</v>
      </c>
      <c r="C328" s="1" t="s">
        <v>378</v>
      </c>
      <c r="D328" s="1" t="s">
        <v>87</v>
      </c>
      <c r="E328" s="1" t="s">
        <v>25</v>
      </c>
      <c r="F328" s="1" t="s">
        <v>1237</v>
      </c>
      <c r="G328" s="1" t="s">
        <v>31</v>
      </c>
      <c r="H328" s="1">
        <v>3</v>
      </c>
      <c r="I328" s="1">
        <f>Table1[[#This Row],[Units_Sold]]*Table1[[#This Row],[Unit_Price]]</f>
        <v>287.94</v>
      </c>
      <c r="J328" s="1">
        <v>95.98</v>
      </c>
      <c r="K328" s="1">
        <v>10</v>
      </c>
      <c r="L328" s="1">
        <v>259.14999999999998</v>
      </c>
      <c r="M328" s="1">
        <v>73.569999999999993</v>
      </c>
      <c r="N328" s="1">
        <v>32</v>
      </c>
      <c r="O328" s="1" t="s">
        <v>26</v>
      </c>
      <c r="P328" s="1" t="s">
        <v>27</v>
      </c>
    </row>
    <row r="329" spans="1:16" x14ac:dyDescent="0.3">
      <c r="A329" s="1">
        <v>100273</v>
      </c>
      <c r="B329" s="2">
        <v>45036</v>
      </c>
      <c r="C329" s="1" t="s">
        <v>379</v>
      </c>
      <c r="D329" s="1" t="s">
        <v>68</v>
      </c>
      <c r="E329" s="1" t="s">
        <v>25</v>
      </c>
      <c r="F329" s="1" t="s">
        <v>1240</v>
      </c>
      <c r="G329" s="1" t="s">
        <v>18</v>
      </c>
      <c r="H329" s="1">
        <v>2</v>
      </c>
      <c r="I329" s="1">
        <f>Table1[[#This Row],[Units_Sold]]*Table1[[#This Row],[Unit_Price]]</f>
        <v>441.06</v>
      </c>
      <c r="J329" s="1">
        <v>220.53</v>
      </c>
      <c r="K329" s="1">
        <v>5</v>
      </c>
      <c r="L329" s="1">
        <v>419.01</v>
      </c>
      <c r="M329" s="1">
        <v>123.73</v>
      </c>
      <c r="N329" s="1">
        <v>29</v>
      </c>
      <c r="O329" s="1" t="s">
        <v>19</v>
      </c>
      <c r="P329" s="1" t="s">
        <v>43</v>
      </c>
    </row>
    <row r="330" spans="1:16" x14ac:dyDescent="0.3">
      <c r="A330" s="1">
        <v>100966</v>
      </c>
      <c r="B330" s="2">
        <v>45816</v>
      </c>
      <c r="C330" s="1" t="s">
        <v>380</v>
      </c>
      <c r="D330" s="1" t="s">
        <v>42</v>
      </c>
      <c r="E330" s="1" t="s">
        <v>25</v>
      </c>
      <c r="F330" s="1" t="s">
        <v>1241</v>
      </c>
      <c r="G330" s="1" t="s">
        <v>18</v>
      </c>
      <c r="H330" s="1">
        <v>2</v>
      </c>
      <c r="I330" s="1">
        <f>Table1[[#This Row],[Units_Sold]]*Table1[[#This Row],[Unit_Price]]</f>
        <v>323.06</v>
      </c>
      <c r="J330" s="1">
        <v>161.53</v>
      </c>
      <c r="K330" s="1">
        <v>10</v>
      </c>
      <c r="L330" s="1">
        <v>290.75</v>
      </c>
      <c r="M330" s="1">
        <v>75.05</v>
      </c>
      <c r="N330" s="1">
        <v>16</v>
      </c>
      <c r="O330" s="1" t="s">
        <v>26</v>
      </c>
      <c r="P330" s="1" t="s">
        <v>81</v>
      </c>
    </row>
    <row r="331" spans="1:16" x14ac:dyDescent="0.3">
      <c r="A331" s="1">
        <v>100237</v>
      </c>
      <c r="B331" s="2">
        <v>45616</v>
      </c>
      <c r="C331" s="1" t="s">
        <v>381</v>
      </c>
      <c r="D331" s="1" t="s">
        <v>45</v>
      </c>
      <c r="E331" s="1" t="s">
        <v>30</v>
      </c>
      <c r="F331" s="1" t="s">
        <v>1238</v>
      </c>
      <c r="G331" s="1" t="s">
        <v>18</v>
      </c>
      <c r="H331" s="1">
        <v>2</v>
      </c>
      <c r="I331" s="1">
        <f>Table1[[#This Row],[Units_Sold]]*Table1[[#This Row],[Unit_Price]]</f>
        <v>27.56</v>
      </c>
      <c r="J331" s="1">
        <v>13.78</v>
      </c>
      <c r="K331" s="1">
        <v>5</v>
      </c>
      <c r="L331" s="1">
        <v>26.18</v>
      </c>
      <c r="M331" s="1">
        <v>8.6999999999999993</v>
      </c>
      <c r="N331" s="1">
        <v>23</v>
      </c>
      <c r="O331" s="1" t="s">
        <v>26</v>
      </c>
      <c r="P331" s="1" t="s">
        <v>35</v>
      </c>
    </row>
    <row r="332" spans="1:16" x14ac:dyDescent="0.3">
      <c r="A332" s="1">
        <v>100405</v>
      </c>
      <c r="B332" s="2">
        <v>45277</v>
      </c>
      <c r="C332" s="1" t="s">
        <v>382</v>
      </c>
      <c r="D332" s="1" t="s">
        <v>53</v>
      </c>
      <c r="E332" s="1" t="s">
        <v>30</v>
      </c>
      <c r="F332" s="1" t="s">
        <v>1241</v>
      </c>
      <c r="G332" s="1" t="s">
        <v>64</v>
      </c>
      <c r="H332" s="1">
        <v>3</v>
      </c>
      <c r="I332" s="1">
        <f>Table1[[#This Row],[Units_Sold]]*Table1[[#This Row],[Unit_Price]]</f>
        <v>57.33</v>
      </c>
      <c r="J332" s="1">
        <v>19.11</v>
      </c>
      <c r="K332" s="1">
        <v>5</v>
      </c>
      <c r="L332" s="1">
        <v>54.46</v>
      </c>
      <c r="M332" s="1">
        <v>20.02</v>
      </c>
      <c r="N332" s="1">
        <v>30</v>
      </c>
      <c r="O332" s="1" t="s">
        <v>19</v>
      </c>
      <c r="P332" s="1" t="s">
        <v>32</v>
      </c>
    </row>
    <row r="333" spans="1:16" x14ac:dyDescent="0.3">
      <c r="A333" s="1">
        <v>100002</v>
      </c>
      <c r="B333" s="2">
        <v>45530</v>
      </c>
      <c r="C333" s="1" t="s">
        <v>383</v>
      </c>
      <c r="D333" s="1" t="s">
        <v>22</v>
      </c>
      <c r="E333" s="1" t="s">
        <v>17</v>
      </c>
      <c r="F333" s="1" t="s">
        <v>1241</v>
      </c>
      <c r="G333" s="1" t="s">
        <v>48</v>
      </c>
      <c r="H333" s="1">
        <v>3</v>
      </c>
      <c r="I333" s="1">
        <f>Table1[[#This Row],[Units_Sold]]*Table1[[#This Row],[Unit_Price]]</f>
        <v>71.58</v>
      </c>
      <c r="J333" s="1">
        <v>23.86</v>
      </c>
      <c r="K333" s="1">
        <v>0</v>
      </c>
      <c r="L333" s="1">
        <v>71.58</v>
      </c>
      <c r="M333" s="1">
        <v>16.07</v>
      </c>
      <c r="N333" s="1">
        <v>21</v>
      </c>
      <c r="O333" s="1" t="s">
        <v>19</v>
      </c>
      <c r="P333" s="1" t="s">
        <v>43</v>
      </c>
    </row>
    <row r="334" spans="1:16" x14ac:dyDescent="0.3">
      <c r="A334" s="1">
        <v>100006</v>
      </c>
      <c r="B334" s="2">
        <v>45577</v>
      </c>
      <c r="C334" s="1" t="s">
        <v>187</v>
      </c>
      <c r="D334" s="1" t="s">
        <v>59</v>
      </c>
      <c r="E334" s="1" t="s">
        <v>17</v>
      </c>
      <c r="F334" s="1" t="s">
        <v>1238</v>
      </c>
      <c r="G334" s="1" t="s">
        <v>31</v>
      </c>
      <c r="H334" s="1">
        <v>2</v>
      </c>
      <c r="I334" s="1">
        <f>Table1[[#This Row],[Units_Sold]]*Table1[[#This Row],[Unit_Price]]</f>
        <v>61.4</v>
      </c>
      <c r="J334" s="1">
        <v>30.7</v>
      </c>
      <c r="K334" s="1">
        <v>20</v>
      </c>
      <c r="L334" s="1">
        <v>49.12</v>
      </c>
      <c r="M334" s="1">
        <v>11.88</v>
      </c>
      <c r="N334" s="1">
        <v>25</v>
      </c>
      <c r="O334" s="1" t="s">
        <v>19</v>
      </c>
      <c r="P334" s="1" t="s">
        <v>27</v>
      </c>
    </row>
    <row r="335" spans="1:16" x14ac:dyDescent="0.3">
      <c r="A335" s="1">
        <v>100311</v>
      </c>
      <c r="B335" s="2">
        <v>45763</v>
      </c>
      <c r="C335" s="1" t="s">
        <v>384</v>
      </c>
      <c r="D335" s="1" t="s">
        <v>87</v>
      </c>
      <c r="E335" s="1" t="s">
        <v>25</v>
      </c>
      <c r="F335" s="1" t="s">
        <v>1238</v>
      </c>
      <c r="G335" s="1" t="s">
        <v>18</v>
      </c>
      <c r="H335" s="1">
        <v>3</v>
      </c>
      <c r="I335" s="1">
        <f>Table1[[#This Row],[Units_Sold]]*Table1[[#This Row],[Unit_Price]]</f>
        <v>244.46999999999997</v>
      </c>
      <c r="J335" s="1">
        <v>81.489999999999995</v>
      </c>
      <c r="K335" s="1">
        <v>0</v>
      </c>
      <c r="L335" s="1">
        <v>244.47</v>
      </c>
      <c r="M335" s="1">
        <v>98.55</v>
      </c>
      <c r="N335" s="1">
        <v>21</v>
      </c>
      <c r="O335" s="1" t="s">
        <v>26</v>
      </c>
      <c r="P335" s="1" t="s">
        <v>32</v>
      </c>
    </row>
    <row r="336" spans="1:16" x14ac:dyDescent="0.3">
      <c r="A336" s="1">
        <v>101090</v>
      </c>
      <c r="B336" s="2">
        <v>45487</v>
      </c>
      <c r="C336" s="1" t="s">
        <v>385</v>
      </c>
      <c r="D336" s="1" t="s">
        <v>24</v>
      </c>
      <c r="E336" s="1" t="s">
        <v>25</v>
      </c>
      <c r="F336" s="1" t="s">
        <v>1238</v>
      </c>
      <c r="G336" s="1" t="s">
        <v>18</v>
      </c>
      <c r="H336" s="1">
        <v>2</v>
      </c>
      <c r="I336" s="1">
        <f>Table1[[#This Row],[Units_Sold]]*Table1[[#This Row],[Unit_Price]]</f>
        <v>177.62</v>
      </c>
      <c r="J336" s="1">
        <v>88.81</v>
      </c>
      <c r="K336" s="1">
        <v>5</v>
      </c>
      <c r="L336" s="1">
        <v>168.74</v>
      </c>
      <c r="M336" s="1">
        <v>52.11</v>
      </c>
      <c r="N336" s="1">
        <v>30</v>
      </c>
      <c r="O336" s="1" t="s">
        <v>26</v>
      </c>
      <c r="P336" s="1" t="s">
        <v>27</v>
      </c>
    </row>
    <row r="337" spans="1:16" x14ac:dyDescent="0.3">
      <c r="A337" s="1">
        <v>100451</v>
      </c>
      <c r="B337" s="2">
        <v>45589</v>
      </c>
      <c r="C337" s="1" t="s">
        <v>386</v>
      </c>
      <c r="D337" s="1" t="s">
        <v>24</v>
      </c>
      <c r="E337" s="1" t="s">
        <v>25</v>
      </c>
      <c r="F337" s="1" t="s">
        <v>1241</v>
      </c>
      <c r="G337" s="1" t="s">
        <v>31</v>
      </c>
      <c r="H337" s="1">
        <v>1</v>
      </c>
      <c r="I337" s="1">
        <f>Table1[[#This Row],[Units_Sold]]*Table1[[#This Row],[Unit_Price]]</f>
        <v>96.41</v>
      </c>
      <c r="J337" s="1">
        <v>96.41</v>
      </c>
      <c r="K337" s="1">
        <v>0</v>
      </c>
      <c r="L337" s="1">
        <v>96.41</v>
      </c>
      <c r="M337" s="1">
        <v>36.99</v>
      </c>
      <c r="N337" s="1">
        <v>40</v>
      </c>
      <c r="O337" s="1" t="s">
        <v>26</v>
      </c>
      <c r="P337" s="1" t="s">
        <v>27</v>
      </c>
    </row>
    <row r="338" spans="1:16" x14ac:dyDescent="0.3">
      <c r="A338" s="1">
        <v>100721</v>
      </c>
      <c r="B338" s="2">
        <v>45540</v>
      </c>
      <c r="C338" s="1" t="s">
        <v>387</v>
      </c>
      <c r="D338" s="1" t="s">
        <v>59</v>
      </c>
      <c r="E338" s="1" t="s">
        <v>17</v>
      </c>
      <c r="F338" s="1" t="s">
        <v>1237</v>
      </c>
      <c r="G338" s="1" t="s">
        <v>48</v>
      </c>
      <c r="H338" s="1">
        <v>2</v>
      </c>
      <c r="I338" s="1">
        <f>Table1[[#This Row],[Units_Sold]]*Table1[[#This Row],[Unit_Price]]</f>
        <v>62.84</v>
      </c>
      <c r="J338" s="1">
        <v>31.42</v>
      </c>
      <c r="K338" s="1">
        <v>0</v>
      </c>
      <c r="L338" s="1">
        <v>62.84</v>
      </c>
      <c r="M338" s="1">
        <v>15.89</v>
      </c>
      <c r="N338" s="1">
        <v>23</v>
      </c>
      <c r="O338" s="1" t="s">
        <v>19</v>
      </c>
      <c r="P338" s="1" t="s">
        <v>46</v>
      </c>
    </row>
    <row r="339" spans="1:16" x14ac:dyDescent="0.3">
      <c r="A339" s="1">
        <v>100215</v>
      </c>
      <c r="B339" s="2">
        <v>45844</v>
      </c>
      <c r="C339" s="1" t="s">
        <v>388</v>
      </c>
      <c r="D339" s="1" t="s">
        <v>62</v>
      </c>
      <c r="E339" s="1" t="s">
        <v>17</v>
      </c>
      <c r="F339" s="1" t="s">
        <v>1240</v>
      </c>
      <c r="G339" s="1" t="s">
        <v>48</v>
      </c>
      <c r="H339" s="1">
        <v>6</v>
      </c>
      <c r="I339" s="1">
        <f>Table1[[#This Row],[Units_Sold]]*Table1[[#This Row],[Unit_Price]]</f>
        <v>862.08</v>
      </c>
      <c r="J339" s="1">
        <v>143.68</v>
      </c>
      <c r="K339" s="1">
        <v>0</v>
      </c>
      <c r="L339" s="1">
        <v>862.08</v>
      </c>
      <c r="M339" s="1">
        <v>302.91000000000003</v>
      </c>
      <c r="N339" s="1">
        <v>20</v>
      </c>
      <c r="O339" s="1" t="s">
        <v>26</v>
      </c>
      <c r="P339" s="1" t="s">
        <v>20</v>
      </c>
    </row>
    <row r="340" spans="1:16" x14ac:dyDescent="0.3">
      <c r="A340" s="1">
        <v>101085</v>
      </c>
      <c r="B340" s="2">
        <v>45646</v>
      </c>
      <c r="C340" s="1" t="s">
        <v>389</v>
      </c>
      <c r="D340" s="1" t="s">
        <v>87</v>
      </c>
      <c r="E340" s="1" t="s">
        <v>25</v>
      </c>
      <c r="F340" s="1" t="s">
        <v>1239</v>
      </c>
      <c r="G340" s="1" t="s">
        <v>31</v>
      </c>
      <c r="H340" s="1">
        <v>4</v>
      </c>
      <c r="I340" s="1">
        <f>Table1[[#This Row],[Units_Sold]]*Table1[[#This Row],[Unit_Price]]</f>
        <v>271.83999999999997</v>
      </c>
      <c r="J340" s="1">
        <v>67.959999999999994</v>
      </c>
      <c r="K340" s="1">
        <v>5</v>
      </c>
      <c r="L340" s="1">
        <v>258.25</v>
      </c>
      <c r="M340" s="1">
        <v>117.48</v>
      </c>
      <c r="N340" s="1">
        <v>27</v>
      </c>
      <c r="O340" s="1" t="s">
        <v>26</v>
      </c>
      <c r="P340" s="1" t="s">
        <v>35</v>
      </c>
    </row>
    <row r="341" spans="1:16" x14ac:dyDescent="0.3">
      <c r="A341" s="1">
        <v>100027</v>
      </c>
      <c r="B341" s="2">
        <v>45525</v>
      </c>
      <c r="C341" s="1" t="s">
        <v>390</v>
      </c>
      <c r="D341" s="1" t="s">
        <v>53</v>
      </c>
      <c r="E341" s="1" t="s">
        <v>30</v>
      </c>
      <c r="F341" s="1" t="s">
        <v>1239</v>
      </c>
      <c r="G341" s="1" t="s">
        <v>18</v>
      </c>
      <c r="H341" s="1">
        <v>5</v>
      </c>
      <c r="I341" s="1">
        <f>Table1[[#This Row],[Units_Sold]]*Table1[[#This Row],[Unit_Price]]</f>
        <v>107.15</v>
      </c>
      <c r="J341" s="1">
        <v>21.43</v>
      </c>
      <c r="K341" s="1">
        <v>0</v>
      </c>
      <c r="L341" s="1">
        <v>107.15</v>
      </c>
      <c r="M341" s="1">
        <v>45.59</v>
      </c>
      <c r="N341" s="1">
        <v>50</v>
      </c>
      <c r="O341" s="1" t="s">
        <v>19</v>
      </c>
      <c r="P341" s="1" t="s">
        <v>27</v>
      </c>
    </row>
    <row r="342" spans="1:16" x14ac:dyDescent="0.3">
      <c r="A342" s="1">
        <v>101157</v>
      </c>
      <c r="B342" s="2">
        <v>45137</v>
      </c>
      <c r="C342" s="1" t="s">
        <v>391</v>
      </c>
      <c r="D342" s="1" t="s">
        <v>42</v>
      </c>
      <c r="E342" s="1" t="s">
        <v>25</v>
      </c>
      <c r="F342" s="1" t="s">
        <v>1238</v>
      </c>
      <c r="G342" s="1" t="s">
        <v>18</v>
      </c>
      <c r="H342" s="1">
        <v>2</v>
      </c>
      <c r="I342" s="1">
        <f>Table1[[#This Row],[Units_Sold]]*Table1[[#This Row],[Unit_Price]]</f>
        <v>331.22</v>
      </c>
      <c r="J342" s="1">
        <v>165.61</v>
      </c>
      <c r="K342" s="1">
        <v>0</v>
      </c>
      <c r="L342" s="1">
        <v>331.22</v>
      </c>
      <c r="M342" s="1">
        <v>93.05</v>
      </c>
      <c r="N342" s="1">
        <v>19</v>
      </c>
      <c r="O342" s="1" t="s">
        <v>19</v>
      </c>
      <c r="P342" s="1" t="s">
        <v>81</v>
      </c>
    </row>
    <row r="343" spans="1:16" x14ac:dyDescent="0.3">
      <c r="A343" s="1">
        <v>100361</v>
      </c>
      <c r="B343" s="2">
        <v>45375</v>
      </c>
      <c r="C343" s="1" t="s">
        <v>392</v>
      </c>
      <c r="D343" s="1" t="s">
        <v>34</v>
      </c>
      <c r="E343" s="1" t="s">
        <v>30</v>
      </c>
      <c r="F343" s="1" t="s">
        <v>1239</v>
      </c>
      <c r="G343" s="1" t="s">
        <v>31</v>
      </c>
      <c r="H343" s="1">
        <v>4</v>
      </c>
      <c r="I343" s="1">
        <f>Table1[[#This Row],[Units_Sold]]*Table1[[#This Row],[Unit_Price]]</f>
        <v>282.83999999999997</v>
      </c>
      <c r="J343" s="1">
        <v>70.709999999999994</v>
      </c>
      <c r="K343" s="1">
        <v>0</v>
      </c>
      <c r="L343" s="1">
        <v>282.83999999999997</v>
      </c>
      <c r="M343" s="1">
        <v>77.739999999999995</v>
      </c>
      <c r="N343" s="1">
        <v>25</v>
      </c>
      <c r="O343" s="1" t="s">
        <v>26</v>
      </c>
      <c r="P343" s="1" t="s">
        <v>32</v>
      </c>
    </row>
    <row r="344" spans="1:16" x14ac:dyDescent="0.3">
      <c r="A344" s="1">
        <v>100822</v>
      </c>
      <c r="B344" s="2">
        <v>45216</v>
      </c>
      <c r="C344" s="1" t="s">
        <v>393</v>
      </c>
      <c r="D344" s="1" t="s">
        <v>24</v>
      </c>
      <c r="E344" s="1" t="s">
        <v>25</v>
      </c>
      <c r="F344" s="1" t="s">
        <v>1241</v>
      </c>
      <c r="G344" s="1" t="s">
        <v>18</v>
      </c>
      <c r="H344" s="1">
        <v>1</v>
      </c>
      <c r="I344" s="1">
        <f>Table1[[#This Row],[Units_Sold]]*Table1[[#This Row],[Unit_Price]]</f>
        <v>98.91</v>
      </c>
      <c r="J344" s="1">
        <v>98.91</v>
      </c>
      <c r="K344" s="1">
        <v>0</v>
      </c>
      <c r="L344" s="1">
        <v>98.91</v>
      </c>
      <c r="M344" s="1">
        <v>33.729999999999997</v>
      </c>
      <c r="N344" s="1">
        <v>22</v>
      </c>
      <c r="O344" s="1" t="s">
        <v>19</v>
      </c>
      <c r="P344" s="1" t="s">
        <v>27</v>
      </c>
    </row>
    <row r="345" spans="1:16" x14ac:dyDescent="0.3">
      <c r="A345" s="1">
        <v>100780</v>
      </c>
      <c r="B345" s="2">
        <v>45872</v>
      </c>
      <c r="C345" s="1" t="s">
        <v>394</v>
      </c>
      <c r="D345" s="1" t="s">
        <v>45</v>
      </c>
      <c r="E345" s="1" t="s">
        <v>30</v>
      </c>
      <c r="F345" s="1" t="s">
        <v>1237</v>
      </c>
      <c r="G345" s="1" t="s">
        <v>48</v>
      </c>
      <c r="H345" s="1">
        <v>3</v>
      </c>
      <c r="I345" s="1">
        <f>Table1[[#This Row],[Units_Sold]]*Table1[[#This Row],[Unit_Price]]</f>
        <v>44.37</v>
      </c>
      <c r="J345" s="1">
        <v>14.79</v>
      </c>
      <c r="K345" s="1">
        <v>0</v>
      </c>
      <c r="L345" s="1">
        <v>44.37</v>
      </c>
      <c r="M345" s="1">
        <v>16.170000000000002</v>
      </c>
      <c r="N345" s="1">
        <v>29</v>
      </c>
      <c r="O345" s="1" t="s">
        <v>19</v>
      </c>
      <c r="P345" s="1" t="s">
        <v>51</v>
      </c>
    </row>
    <row r="346" spans="1:16" x14ac:dyDescent="0.3">
      <c r="A346" s="1">
        <v>100628</v>
      </c>
      <c r="B346" s="2">
        <v>45684</v>
      </c>
      <c r="C346" s="1" t="s">
        <v>395</v>
      </c>
      <c r="D346" s="1" t="s">
        <v>77</v>
      </c>
      <c r="E346" s="1" t="s">
        <v>30</v>
      </c>
      <c r="F346" s="1" t="s">
        <v>1241</v>
      </c>
      <c r="G346" s="1" t="s">
        <v>31</v>
      </c>
      <c r="H346" s="1">
        <v>4</v>
      </c>
      <c r="I346" s="1">
        <f>Table1[[#This Row],[Units_Sold]]*Table1[[#This Row],[Unit_Price]]</f>
        <v>165.88</v>
      </c>
      <c r="J346" s="1">
        <v>41.47</v>
      </c>
      <c r="K346" s="1">
        <v>0</v>
      </c>
      <c r="L346" s="1">
        <v>165.88</v>
      </c>
      <c r="M346" s="1">
        <v>43.36</v>
      </c>
      <c r="N346" s="1">
        <v>16</v>
      </c>
      <c r="O346" s="1" t="s">
        <v>26</v>
      </c>
      <c r="P346" s="1" t="s">
        <v>27</v>
      </c>
    </row>
    <row r="347" spans="1:16" x14ac:dyDescent="0.3">
      <c r="A347" s="1">
        <v>100453</v>
      </c>
      <c r="B347" s="2">
        <v>45370</v>
      </c>
      <c r="C347" s="1" t="s">
        <v>396</v>
      </c>
      <c r="D347" s="1" t="s">
        <v>66</v>
      </c>
      <c r="E347" s="1" t="s">
        <v>17</v>
      </c>
      <c r="F347" s="1" t="s">
        <v>1237</v>
      </c>
      <c r="G347" s="1" t="s">
        <v>31</v>
      </c>
      <c r="H347" s="1">
        <v>3</v>
      </c>
      <c r="I347" s="1">
        <f>Table1[[#This Row],[Units_Sold]]*Table1[[#This Row],[Unit_Price]]</f>
        <v>389.18999999999994</v>
      </c>
      <c r="J347" s="1">
        <v>129.72999999999999</v>
      </c>
      <c r="K347" s="1">
        <v>10</v>
      </c>
      <c r="L347" s="1">
        <v>350.27</v>
      </c>
      <c r="M347" s="1">
        <v>119.46</v>
      </c>
      <c r="N347" s="1">
        <v>32</v>
      </c>
      <c r="O347" s="1" t="s">
        <v>19</v>
      </c>
      <c r="P347" s="1" t="s">
        <v>27</v>
      </c>
    </row>
    <row r="348" spans="1:16" x14ac:dyDescent="0.3">
      <c r="A348" s="1">
        <v>100738</v>
      </c>
      <c r="B348" s="2">
        <v>45630</v>
      </c>
      <c r="C348" s="1" t="s">
        <v>397</v>
      </c>
      <c r="D348" s="1" t="s">
        <v>29</v>
      </c>
      <c r="E348" s="1" t="s">
        <v>30</v>
      </c>
      <c r="F348" s="1" t="s">
        <v>1238</v>
      </c>
      <c r="G348" s="1" t="s">
        <v>64</v>
      </c>
      <c r="H348" s="1">
        <v>2</v>
      </c>
      <c r="I348" s="1">
        <f>Table1[[#This Row],[Units_Sold]]*Table1[[#This Row],[Unit_Price]]</f>
        <v>42.3</v>
      </c>
      <c r="J348" s="1">
        <v>21.15</v>
      </c>
      <c r="K348" s="1">
        <v>20</v>
      </c>
      <c r="L348" s="1">
        <v>33.840000000000003</v>
      </c>
      <c r="M348" s="1">
        <v>12.52</v>
      </c>
      <c r="N348" s="1">
        <v>29</v>
      </c>
      <c r="O348" s="1" t="s">
        <v>26</v>
      </c>
      <c r="P348" s="1" t="s">
        <v>27</v>
      </c>
    </row>
    <row r="349" spans="1:16" x14ac:dyDescent="0.3">
      <c r="A349" s="1">
        <v>100535</v>
      </c>
      <c r="B349" s="2">
        <v>45186</v>
      </c>
      <c r="C349" s="1" t="s">
        <v>398</v>
      </c>
      <c r="D349" s="1" t="s">
        <v>53</v>
      </c>
      <c r="E349" s="1" t="s">
        <v>30</v>
      </c>
      <c r="F349" s="1" t="s">
        <v>1241</v>
      </c>
      <c r="G349" s="1" t="s">
        <v>48</v>
      </c>
      <c r="H349" s="1">
        <v>2</v>
      </c>
      <c r="I349" s="1">
        <f>Table1[[#This Row],[Units_Sold]]*Table1[[#This Row],[Unit_Price]]</f>
        <v>45.9</v>
      </c>
      <c r="J349" s="1">
        <v>22.95</v>
      </c>
      <c r="K349" s="1">
        <v>0</v>
      </c>
      <c r="L349" s="1">
        <v>45.9</v>
      </c>
      <c r="M349" s="1">
        <v>16.100000000000001</v>
      </c>
      <c r="N349" s="1">
        <v>33</v>
      </c>
      <c r="O349" s="1" t="s">
        <v>19</v>
      </c>
      <c r="P349" s="1" t="s">
        <v>51</v>
      </c>
    </row>
    <row r="350" spans="1:16" x14ac:dyDescent="0.3">
      <c r="A350" s="1">
        <v>101049</v>
      </c>
      <c r="B350" s="2">
        <v>45584</v>
      </c>
      <c r="C350" s="1" t="s">
        <v>399</v>
      </c>
      <c r="D350" s="1" t="s">
        <v>37</v>
      </c>
      <c r="E350" s="1" t="s">
        <v>17</v>
      </c>
      <c r="F350" s="1" t="s">
        <v>1241</v>
      </c>
      <c r="G350" s="1" t="s">
        <v>18</v>
      </c>
      <c r="H350" s="1">
        <v>4</v>
      </c>
      <c r="I350" s="1">
        <f>Table1[[#This Row],[Units_Sold]]*Table1[[#This Row],[Unit_Price]]</f>
        <v>301.72000000000003</v>
      </c>
      <c r="J350" s="1">
        <v>75.430000000000007</v>
      </c>
      <c r="K350" s="1">
        <v>0</v>
      </c>
      <c r="L350" s="1">
        <v>301.72000000000003</v>
      </c>
      <c r="M350" s="1">
        <v>100.75</v>
      </c>
      <c r="N350" s="1">
        <v>30</v>
      </c>
      <c r="O350" s="1" t="s">
        <v>19</v>
      </c>
      <c r="P350" s="1" t="s">
        <v>43</v>
      </c>
    </row>
    <row r="351" spans="1:16" x14ac:dyDescent="0.3">
      <c r="A351" s="1">
        <v>100398</v>
      </c>
      <c r="B351" s="2">
        <v>45439</v>
      </c>
      <c r="C351" s="1" t="s">
        <v>400</v>
      </c>
      <c r="D351" s="1" t="s">
        <v>87</v>
      </c>
      <c r="E351" s="1" t="s">
        <v>25</v>
      </c>
      <c r="F351" s="1" t="s">
        <v>1238</v>
      </c>
      <c r="G351" s="1" t="s">
        <v>18</v>
      </c>
      <c r="H351" s="1">
        <v>3</v>
      </c>
      <c r="I351" s="1">
        <f>Table1[[#This Row],[Units_Sold]]*Table1[[#This Row],[Unit_Price]]</f>
        <v>202.74</v>
      </c>
      <c r="J351" s="1">
        <v>67.58</v>
      </c>
      <c r="K351" s="1">
        <v>0</v>
      </c>
      <c r="L351" s="1">
        <v>202.74</v>
      </c>
      <c r="M351" s="1">
        <v>58.89</v>
      </c>
      <c r="N351" s="1">
        <v>34</v>
      </c>
      <c r="O351" s="1" t="s">
        <v>26</v>
      </c>
      <c r="P351" s="1" t="s">
        <v>35</v>
      </c>
    </row>
    <row r="352" spans="1:16" x14ac:dyDescent="0.3">
      <c r="A352" s="1">
        <v>100256</v>
      </c>
      <c r="B352" s="2">
        <v>44943</v>
      </c>
      <c r="C352" s="1" t="s">
        <v>401</v>
      </c>
      <c r="D352" s="1" t="s">
        <v>39</v>
      </c>
      <c r="E352" s="1" t="s">
        <v>25</v>
      </c>
      <c r="F352" s="1" t="s">
        <v>1238</v>
      </c>
      <c r="G352" s="1" t="s">
        <v>18</v>
      </c>
      <c r="H352" s="1">
        <v>5</v>
      </c>
      <c r="I352" s="1">
        <f>Table1[[#This Row],[Units_Sold]]*Table1[[#This Row],[Unit_Price]]</f>
        <v>863.5</v>
      </c>
      <c r="J352" s="1">
        <v>172.7</v>
      </c>
      <c r="K352" s="1">
        <v>0</v>
      </c>
      <c r="L352" s="1">
        <v>863.5</v>
      </c>
      <c r="M352" s="1">
        <v>208.49</v>
      </c>
      <c r="N352" s="1">
        <v>25</v>
      </c>
      <c r="O352" s="1" t="s">
        <v>19</v>
      </c>
      <c r="P352" s="1" t="s">
        <v>20</v>
      </c>
    </row>
    <row r="353" spans="1:16" x14ac:dyDescent="0.3">
      <c r="A353" s="1">
        <v>100291</v>
      </c>
      <c r="B353" s="2">
        <v>45047</v>
      </c>
      <c r="C353" s="1" t="s">
        <v>402</v>
      </c>
      <c r="D353" s="1" t="s">
        <v>37</v>
      </c>
      <c r="E353" s="1" t="s">
        <v>17</v>
      </c>
      <c r="F353" s="1" t="s">
        <v>1241</v>
      </c>
      <c r="G353" s="1" t="s">
        <v>31</v>
      </c>
      <c r="H353" s="1">
        <v>3</v>
      </c>
      <c r="I353" s="1">
        <f>Table1[[#This Row],[Units_Sold]]*Table1[[#This Row],[Unit_Price]]</f>
        <v>206.73</v>
      </c>
      <c r="J353" s="1">
        <v>68.91</v>
      </c>
      <c r="K353" s="1">
        <v>5</v>
      </c>
      <c r="L353" s="1">
        <v>196.39</v>
      </c>
      <c r="M353" s="1">
        <v>41.2</v>
      </c>
      <c r="N353" s="1">
        <v>16</v>
      </c>
      <c r="O353" s="1" t="s">
        <v>26</v>
      </c>
      <c r="P353" s="1" t="s">
        <v>32</v>
      </c>
    </row>
    <row r="354" spans="1:16" x14ac:dyDescent="0.3">
      <c r="A354" s="1">
        <v>100025</v>
      </c>
      <c r="B354" s="2">
        <v>45095</v>
      </c>
      <c r="C354" s="1" t="s">
        <v>403</v>
      </c>
      <c r="D354" s="1" t="s">
        <v>62</v>
      </c>
      <c r="E354" s="1" t="s">
        <v>17</v>
      </c>
      <c r="F354" s="1" t="s">
        <v>1238</v>
      </c>
      <c r="G354" s="1" t="s">
        <v>64</v>
      </c>
      <c r="H354" s="1">
        <v>2</v>
      </c>
      <c r="I354" s="1">
        <f>Table1[[#This Row],[Units_Sold]]*Table1[[#This Row],[Unit_Price]]</f>
        <v>268.72000000000003</v>
      </c>
      <c r="J354" s="1">
        <v>134.36000000000001</v>
      </c>
      <c r="K354" s="1">
        <v>10</v>
      </c>
      <c r="L354" s="1">
        <v>241.85</v>
      </c>
      <c r="M354" s="1">
        <v>45.22</v>
      </c>
      <c r="N354" s="1">
        <v>30</v>
      </c>
      <c r="O354" s="1" t="s">
        <v>19</v>
      </c>
      <c r="P354" s="1" t="s">
        <v>20</v>
      </c>
    </row>
    <row r="355" spans="1:16" x14ac:dyDescent="0.3">
      <c r="A355" s="1">
        <v>100336</v>
      </c>
      <c r="B355" s="2">
        <v>45372</v>
      </c>
      <c r="C355" s="1" t="s">
        <v>404</v>
      </c>
      <c r="D355" s="1" t="s">
        <v>68</v>
      </c>
      <c r="E355" s="1" t="s">
        <v>25</v>
      </c>
      <c r="F355" s="1" t="s">
        <v>1241</v>
      </c>
      <c r="G355" s="1" t="s">
        <v>18</v>
      </c>
      <c r="H355" s="1">
        <v>1</v>
      </c>
      <c r="I355" s="1">
        <f>Table1[[#This Row],[Units_Sold]]*Table1[[#This Row],[Unit_Price]]</f>
        <v>212.26</v>
      </c>
      <c r="J355" s="1">
        <v>212.26</v>
      </c>
      <c r="K355" s="1">
        <v>20</v>
      </c>
      <c r="L355" s="1">
        <v>169.81</v>
      </c>
      <c r="M355" s="1">
        <v>32.200000000000003</v>
      </c>
      <c r="N355" s="1">
        <v>26</v>
      </c>
      <c r="O355" s="1" t="s">
        <v>19</v>
      </c>
      <c r="P355" s="1" t="s">
        <v>43</v>
      </c>
    </row>
    <row r="356" spans="1:16" x14ac:dyDescent="0.3">
      <c r="A356" s="1">
        <v>100584</v>
      </c>
      <c r="B356" s="2">
        <v>45154</v>
      </c>
      <c r="C356" s="1" t="s">
        <v>405</v>
      </c>
      <c r="D356" s="1" t="s">
        <v>73</v>
      </c>
      <c r="E356" s="1" t="s">
        <v>25</v>
      </c>
      <c r="F356" s="1" t="s">
        <v>1241</v>
      </c>
      <c r="G356" s="1" t="s">
        <v>64</v>
      </c>
      <c r="H356" s="1">
        <v>2</v>
      </c>
      <c r="I356" s="1">
        <f>Table1[[#This Row],[Units_Sold]]*Table1[[#This Row],[Unit_Price]]</f>
        <v>68</v>
      </c>
      <c r="J356" s="1">
        <v>34</v>
      </c>
      <c r="K356" s="1">
        <v>0</v>
      </c>
      <c r="L356" s="1">
        <v>68</v>
      </c>
      <c r="M356" s="1">
        <v>20.12</v>
      </c>
      <c r="N356" s="1">
        <v>24</v>
      </c>
      <c r="O356" s="1" t="s">
        <v>122</v>
      </c>
      <c r="P356" s="1" t="s">
        <v>46</v>
      </c>
    </row>
    <row r="357" spans="1:16" x14ac:dyDescent="0.3">
      <c r="A357" s="1">
        <v>100047</v>
      </c>
      <c r="B357" s="2">
        <v>45488</v>
      </c>
      <c r="C357" s="1" t="s">
        <v>406</v>
      </c>
      <c r="D357" s="1" t="s">
        <v>39</v>
      </c>
      <c r="E357" s="1" t="s">
        <v>25</v>
      </c>
      <c r="F357" s="1" t="s">
        <v>1241</v>
      </c>
      <c r="G357" s="1" t="s">
        <v>31</v>
      </c>
      <c r="H357" s="1">
        <v>2</v>
      </c>
      <c r="I357" s="1">
        <f>Table1[[#This Row],[Units_Sold]]*Table1[[#This Row],[Unit_Price]]</f>
        <v>389.74</v>
      </c>
      <c r="J357" s="1">
        <v>194.87</v>
      </c>
      <c r="K357" s="1">
        <v>5</v>
      </c>
      <c r="L357" s="1">
        <v>370.25</v>
      </c>
      <c r="M357" s="1">
        <v>134.53</v>
      </c>
      <c r="N357" s="1">
        <v>24</v>
      </c>
      <c r="O357" s="1" t="s">
        <v>19</v>
      </c>
      <c r="P357" s="1" t="s">
        <v>43</v>
      </c>
    </row>
    <row r="358" spans="1:16" x14ac:dyDescent="0.3">
      <c r="A358" s="1">
        <v>100318</v>
      </c>
      <c r="B358" s="2">
        <v>45323</v>
      </c>
      <c r="C358" s="1" t="s">
        <v>407</v>
      </c>
      <c r="D358" s="1" t="s">
        <v>77</v>
      </c>
      <c r="E358" s="1" t="s">
        <v>30</v>
      </c>
      <c r="F358" s="1" t="s">
        <v>1238</v>
      </c>
      <c r="G358" s="1" t="s">
        <v>18</v>
      </c>
      <c r="H358" s="1">
        <v>4</v>
      </c>
      <c r="I358" s="1">
        <f>Table1[[#This Row],[Units_Sold]]*Table1[[#This Row],[Unit_Price]]</f>
        <v>151.52000000000001</v>
      </c>
      <c r="J358" s="1">
        <v>37.880000000000003</v>
      </c>
      <c r="K358" s="1">
        <v>5</v>
      </c>
      <c r="L358" s="1">
        <v>143.94</v>
      </c>
      <c r="M358" s="1">
        <v>27.05</v>
      </c>
      <c r="N358" s="1">
        <v>29</v>
      </c>
      <c r="O358" s="1" t="s">
        <v>26</v>
      </c>
      <c r="P358" s="1" t="s">
        <v>27</v>
      </c>
    </row>
    <row r="359" spans="1:16" x14ac:dyDescent="0.3">
      <c r="A359" s="1">
        <v>100106</v>
      </c>
      <c r="B359" s="2">
        <v>45528</v>
      </c>
      <c r="C359" s="1" t="s">
        <v>408</v>
      </c>
      <c r="D359" s="1" t="s">
        <v>16</v>
      </c>
      <c r="E359" s="1" t="s">
        <v>17</v>
      </c>
      <c r="F359" s="1" t="s">
        <v>1238</v>
      </c>
      <c r="G359" s="1" t="s">
        <v>18</v>
      </c>
      <c r="H359" s="1">
        <v>4</v>
      </c>
      <c r="I359" s="1">
        <f>Table1[[#This Row],[Units_Sold]]*Table1[[#This Row],[Unit_Price]]</f>
        <v>188.84</v>
      </c>
      <c r="J359" s="1">
        <v>47.21</v>
      </c>
      <c r="K359" s="1">
        <v>0</v>
      </c>
      <c r="L359" s="1">
        <v>188.84</v>
      </c>
      <c r="M359" s="1">
        <v>41.18</v>
      </c>
      <c r="N359" s="1">
        <v>31</v>
      </c>
      <c r="O359" s="1" t="s">
        <v>19</v>
      </c>
      <c r="P359" s="1" t="s">
        <v>51</v>
      </c>
    </row>
    <row r="360" spans="1:16" x14ac:dyDescent="0.3">
      <c r="A360" s="1">
        <v>100798</v>
      </c>
      <c r="B360" s="2">
        <v>45570</v>
      </c>
      <c r="C360" s="1" t="s">
        <v>409</v>
      </c>
      <c r="D360" s="1" t="s">
        <v>22</v>
      </c>
      <c r="E360" s="1" t="s">
        <v>17</v>
      </c>
      <c r="F360" s="1" t="s">
        <v>1241</v>
      </c>
      <c r="G360" s="1" t="s">
        <v>64</v>
      </c>
      <c r="H360" s="1">
        <v>4</v>
      </c>
      <c r="I360" s="1">
        <f>Table1[[#This Row],[Units_Sold]]*Table1[[#This Row],[Unit_Price]]</f>
        <v>96.96</v>
      </c>
      <c r="J360" s="1">
        <v>24.24</v>
      </c>
      <c r="K360" s="1">
        <v>0</v>
      </c>
      <c r="L360" s="1">
        <v>96.96</v>
      </c>
      <c r="M360" s="1">
        <v>30.33</v>
      </c>
      <c r="N360" s="1">
        <v>16</v>
      </c>
      <c r="O360" s="1" t="s">
        <v>19</v>
      </c>
      <c r="P360" s="1" t="s">
        <v>46</v>
      </c>
    </row>
    <row r="361" spans="1:16" x14ac:dyDescent="0.3">
      <c r="A361" s="1">
        <v>100055</v>
      </c>
      <c r="B361" s="2">
        <v>45068</v>
      </c>
      <c r="C361" s="1" t="s">
        <v>410</v>
      </c>
      <c r="D361" s="1" t="s">
        <v>68</v>
      </c>
      <c r="E361" s="1" t="s">
        <v>25</v>
      </c>
      <c r="F361" s="1" t="s">
        <v>1237</v>
      </c>
      <c r="G361" s="1" t="s">
        <v>31</v>
      </c>
      <c r="H361" s="1">
        <v>1</v>
      </c>
      <c r="I361" s="1">
        <f>Table1[[#This Row],[Units_Sold]]*Table1[[#This Row],[Unit_Price]]</f>
        <v>234.95</v>
      </c>
      <c r="J361" s="1">
        <v>234.95</v>
      </c>
      <c r="K361" s="1">
        <v>20</v>
      </c>
      <c r="L361" s="1">
        <v>187.96</v>
      </c>
      <c r="M361" s="1">
        <v>65.34</v>
      </c>
      <c r="N361" s="1">
        <v>41</v>
      </c>
      <c r="O361" s="1" t="s">
        <v>26</v>
      </c>
      <c r="P361" s="1" t="s">
        <v>32</v>
      </c>
    </row>
    <row r="362" spans="1:16" x14ac:dyDescent="0.3">
      <c r="A362" s="1">
        <v>100522</v>
      </c>
      <c r="B362" s="2">
        <v>45925</v>
      </c>
      <c r="C362" s="1" t="s">
        <v>411</v>
      </c>
      <c r="D362" s="1" t="s">
        <v>45</v>
      </c>
      <c r="E362" s="1" t="s">
        <v>30</v>
      </c>
      <c r="F362" s="1" t="s">
        <v>1238</v>
      </c>
      <c r="G362" s="1" t="s">
        <v>18</v>
      </c>
      <c r="H362" s="1">
        <v>2</v>
      </c>
      <c r="I362" s="1">
        <f>Table1[[#This Row],[Units_Sold]]*Table1[[#This Row],[Unit_Price]]</f>
        <v>29</v>
      </c>
      <c r="J362" s="1">
        <v>14.5</v>
      </c>
      <c r="K362" s="1">
        <v>0</v>
      </c>
      <c r="L362" s="1">
        <v>29</v>
      </c>
      <c r="M362" s="1">
        <v>7.69</v>
      </c>
      <c r="N362" s="1">
        <v>29</v>
      </c>
      <c r="O362" s="1" t="s">
        <v>19</v>
      </c>
      <c r="P362" s="1" t="s">
        <v>35</v>
      </c>
    </row>
    <row r="363" spans="1:16" x14ac:dyDescent="0.3">
      <c r="A363" s="1">
        <v>100213</v>
      </c>
      <c r="B363" s="2">
        <v>45907</v>
      </c>
      <c r="C363" s="1" t="s">
        <v>412</v>
      </c>
      <c r="D363" s="1" t="s">
        <v>37</v>
      </c>
      <c r="E363" s="1" t="s">
        <v>17</v>
      </c>
      <c r="F363" s="1" t="s">
        <v>1241</v>
      </c>
      <c r="G363" s="1" t="s">
        <v>64</v>
      </c>
      <c r="H363" s="1">
        <v>3</v>
      </c>
      <c r="I363" s="1">
        <f>Table1[[#This Row],[Units_Sold]]*Table1[[#This Row],[Unit_Price]]</f>
        <v>217.56</v>
      </c>
      <c r="J363" s="1">
        <v>72.52</v>
      </c>
      <c r="K363" s="1">
        <v>40</v>
      </c>
      <c r="L363" s="1">
        <v>130.54</v>
      </c>
      <c r="M363" s="1">
        <v>49.34</v>
      </c>
      <c r="N363" s="1">
        <v>20</v>
      </c>
      <c r="O363" s="1" t="s">
        <v>122</v>
      </c>
      <c r="P363" s="1" t="s">
        <v>20</v>
      </c>
    </row>
    <row r="364" spans="1:16" x14ac:dyDescent="0.3">
      <c r="A364" s="1">
        <v>100120</v>
      </c>
      <c r="B364" s="2">
        <v>45209</v>
      </c>
      <c r="C364" s="1" t="s">
        <v>413</v>
      </c>
      <c r="D364" s="1" t="s">
        <v>73</v>
      </c>
      <c r="E364" s="1" t="s">
        <v>25</v>
      </c>
      <c r="F364" s="1" t="s">
        <v>1240</v>
      </c>
      <c r="G364" s="1" t="s">
        <v>48</v>
      </c>
      <c r="H364" s="1">
        <v>3</v>
      </c>
      <c r="I364" s="1">
        <f>Table1[[#This Row],[Units_Sold]]*Table1[[#This Row],[Unit_Price]]</f>
        <v>100.05000000000001</v>
      </c>
      <c r="J364" s="1">
        <v>33.35</v>
      </c>
      <c r="K364" s="1">
        <v>0</v>
      </c>
      <c r="L364" s="1">
        <v>100.05</v>
      </c>
      <c r="M364" s="1">
        <v>29.35</v>
      </c>
      <c r="N364" s="1">
        <v>21</v>
      </c>
      <c r="O364" s="1" t="s">
        <v>26</v>
      </c>
      <c r="P364" s="1" t="s">
        <v>51</v>
      </c>
    </row>
    <row r="365" spans="1:16" x14ac:dyDescent="0.3">
      <c r="A365" s="1">
        <v>100917</v>
      </c>
      <c r="B365" s="2">
        <v>45898</v>
      </c>
      <c r="C365" s="1" t="s">
        <v>414</v>
      </c>
      <c r="D365" s="1" t="s">
        <v>62</v>
      </c>
      <c r="E365" s="1" t="s">
        <v>17</v>
      </c>
      <c r="F365" s="1" t="s">
        <v>1238</v>
      </c>
      <c r="G365" s="1" t="s">
        <v>31</v>
      </c>
      <c r="H365" s="1">
        <v>1</v>
      </c>
      <c r="I365" s="1">
        <f>Table1[[#This Row],[Units_Sold]]*Table1[[#This Row],[Unit_Price]]</f>
        <v>121.1</v>
      </c>
      <c r="J365" s="1">
        <v>121.1</v>
      </c>
      <c r="K365" s="1">
        <v>10</v>
      </c>
      <c r="L365" s="1">
        <v>108.99</v>
      </c>
      <c r="M365" s="1">
        <v>23.56</v>
      </c>
      <c r="N365" s="1">
        <v>29</v>
      </c>
      <c r="O365" s="1" t="s">
        <v>26</v>
      </c>
      <c r="P365" s="1" t="s">
        <v>46</v>
      </c>
    </row>
    <row r="366" spans="1:16" x14ac:dyDescent="0.3">
      <c r="A366" s="1">
        <v>101067</v>
      </c>
      <c r="B366" s="2">
        <v>45019</v>
      </c>
      <c r="C366" s="1" t="s">
        <v>415</v>
      </c>
      <c r="D366" s="1" t="s">
        <v>66</v>
      </c>
      <c r="E366" s="1" t="s">
        <v>17</v>
      </c>
      <c r="F366" s="1" t="s">
        <v>1241</v>
      </c>
      <c r="G366" s="1" t="s">
        <v>18</v>
      </c>
      <c r="H366" s="1">
        <v>3</v>
      </c>
      <c r="I366" s="1">
        <f>Table1[[#This Row],[Units_Sold]]*Table1[[#This Row],[Unit_Price]]</f>
        <v>357.84000000000003</v>
      </c>
      <c r="J366" s="1">
        <v>119.28</v>
      </c>
      <c r="K366" s="1">
        <v>0</v>
      </c>
      <c r="L366" s="1">
        <v>357.84</v>
      </c>
      <c r="M366" s="1">
        <v>121.1</v>
      </c>
      <c r="N366" s="1">
        <v>32</v>
      </c>
      <c r="O366" s="1" t="s">
        <v>26</v>
      </c>
      <c r="P366" s="1" t="s">
        <v>32</v>
      </c>
    </row>
    <row r="367" spans="1:16" x14ac:dyDescent="0.3">
      <c r="A367" s="1">
        <v>101117</v>
      </c>
      <c r="B367" s="2">
        <v>45654</v>
      </c>
      <c r="C367" s="1" t="s">
        <v>416</v>
      </c>
      <c r="D367" s="1" t="s">
        <v>68</v>
      </c>
      <c r="E367" s="1" t="s">
        <v>25</v>
      </c>
      <c r="F367" s="1" t="s">
        <v>1237</v>
      </c>
      <c r="G367" s="1" t="s">
        <v>31</v>
      </c>
      <c r="H367" s="1">
        <v>6</v>
      </c>
      <c r="I367" s="1">
        <f>Table1[[#This Row],[Units_Sold]]*Table1[[#This Row],[Unit_Price]]</f>
        <v>1405.5</v>
      </c>
      <c r="J367" s="1">
        <v>234.25</v>
      </c>
      <c r="K367" s="1">
        <v>0</v>
      </c>
      <c r="L367" s="1">
        <v>1405.5</v>
      </c>
      <c r="M367" s="1">
        <v>364.55</v>
      </c>
      <c r="N367" s="1">
        <v>46</v>
      </c>
      <c r="O367" s="1" t="s">
        <v>19</v>
      </c>
      <c r="P367" s="1" t="s">
        <v>20</v>
      </c>
    </row>
    <row r="368" spans="1:16" x14ac:dyDescent="0.3">
      <c r="A368" s="1">
        <v>100072</v>
      </c>
      <c r="B368" s="2">
        <v>45022</v>
      </c>
      <c r="C368" s="1" t="s">
        <v>417</v>
      </c>
      <c r="D368" s="1" t="s">
        <v>16</v>
      </c>
      <c r="E368" s="1" t="s">
        <v>17</v>
      </c>
      <c r="F368" s="1" t="s">
        <v>1237</v>
      </c>
      <c r="G368" s="1" t="s">
        <v>18</v>
      </c>
      <c r="H368" s="1">
        <v>2</v>
      </c>
      <c r="I368" s="1">
        <f>Table1[[#This Row],[Units_Sold]]*Table1[[#This Row],[Unit_Price]]</f>
        <v>97.22</v>
      </c>
      <c r="J368" s="1">
        <v>48.61</v>
      </c>
      <c r="K368" s="1">
        <v>20</v>
      </c>
      <c r="L368" s="1">
        <v>77.78</v>
      </c>
      <c r="M368" s="1">
        <v>25.44</v>
      </c>
      <c r="N368" s="1">
        <v>38</v>
      </c>
      <c r="O368" s="1" t="s">
        <v>19</v>
      </c>
      <c r="P368" s="1" t="s">
        <v>46</v>
      </c>
    </row>
    <row r="369" spans="1:16" x14ac:dyDescent="0.3">
      <c r="A369" s="1">
        <v>100947</v>
      </c>
      <c r="B369" s="2">
        <v>45460</v>
      </c>
      <c r="C369" s="1" t="s">
        <v>418</v>
      </c>
      <c r="D369" s="1" t="s">
        <v>66</v>
      </c>
      <c r="E369" s="1" t="s">
        <v>17</v>
      </c>
      <c r="F369" s="1" t="s">
        <v>1237</v>
      </c>
      <c r="G369" s="1" t="s">
        <v>18</v>
      </c>
      <c r="H369" s="1">
        <v>4</v>
      </c>
      <c r="I369" s="1">
        <f>Table1[[#This Row],[Units_Sold]]*Table1[[#This Row],[Unit_Price]]</f>
        <v>508.44</v>
      </c>
      <c r="J369" s="1">
        <v>127.11</v>
      </c>
      <c r="K369" s="1">
        <v>20</v>
      </c>
      <c r="L369" s="1">
        <v>406.75</v>
      </c>
      <c r="M369" s="1">
        <v>136.83000000000001</v>
      </c>
      <c r="N369" s="1">
        <v>26</v>
      </c>
      <c r="O369" s="1" t="s">
        <v>26</v>
      </c>
      <c r="P369" s="1" t="s">
        <v>51</v>
      </c>
    </row>
    <row r="370" spans="1:16" x14ac:dyDescent="0.3">
      <c r="A370" s="1">
        <v>100746</v>
      </c>
      <c r="B370" s="2">
        <v>45227</v>
      </c>
      <c r="C370" s="1" t="s">
        <v>419</v>
      </c>
      <c r="D370" s="1" t="s">
        <v>53</v>
      </c>
      <c r="E370" s="1" t="s">
        <v>30</v>
      </c>
      <c r="F370" s="1" t="s">
        <v>1241</v>
      </c>
      <c r="G370" s="1" t="s">
        <v>18</v>
      </c>
      <c r="H370" s="1">
        <v>2</v>
      </c>
      <c r="I370" s="1">
        <f>Table1[[#This Row],[Units_Sold]]*Table1[[#This Row],[Unit_Price]]</f>
        <v>36.74</v>
      </c>
      <c r="J370" s="1">
        <v>18.37</v>
      </c>
      <c r="K370" s="1">
        <v>5</v>
      </c>
      <c r="L370" s="1">
        <v>34.9</v>
      </c>
      <c r="M370" s="1">
        <v>11.59</v>
      </c>
      <c r="N370" s="1">
        <v>16</v>
      </c>
      <c r="O370" s="1" t="s">
        <v>19</v>
      </c>
      <c r="P370" s="1" t="s">
        <v>81</v>
      </c>
    </row>
    <row r="371" spans="1:16" x14ac:dyDescent="0.3">
      <c r="A371" s="1">
        <v>100715</v>
      </c>
      <c r="B371" s="2">
        <v>45686</v>
      </c>
      <c r="C371" s="1" t="s">
        <v>420</v>
      </c>
      <c r="D371" s="1" t="s">
        <v>34</v>
      </c>
      <c r="E371" s="1" t="s">
        <v>30</v>
      </c>
      <c r="F371" s="1" t="s">
        <v>1241</v>
      </c>
      <c r="G371" s="1" t="s">
        <v>48</v>
      </c>
      <c r="H371" s="1">
        <v>3</v>
      </c>
      <c r="I371" s="1">
        <f>Table1[[#This Row],[Units_Sold]]*Table1[[#This Row],[Unit_Price]]</f>
        <v>171.87</v>
      </c>
      <c r="J371" s="1">
        <v>57.29</v>
      </c>
      <c r="K371" s="1">
        <v>0</v>
      </c>
      <c r="L371" s="1">
        <v>171.87</v>
      </c>
      <c r="M371" s="1">
        <v>70.94</v>
      </c>
      <c r="N371" s="1">
        <v>33</v>
      </c>
      <c r="O371" s="1" t="s">
        <v>19</v>
      </c>
      <c r="P371" s="1" t="s">
        <v>32</v>
      </c>
    </row>
    <row r="372" spans="1:16" x14ac:dyDescent="0.3">
      <c r="A372" s="1">
        <v>100557</v>
      </c>
      <c r="B372" s="2">
        <v>45509</v>
      </c>
      <c r="C372" s="1" t="s">
        <v>421</v>
      </c>
      <c r="D372" s="1" t="s">
        <v>73</v>
      </c>
      <c r="E372" s="1" t="s">
        <v>25</v>
      </c>
      <c r="F372" s="1" t="s">
        <v>1237</v>
      </c>
      <c r="G372" s="1" t="s">
        <v>31</v>
      </c>
      <c r="H372" s="1">
        <v>1</v>
      </c>
      <c r="I372" s="1">
        <f>Table1[[#This Row],[Units_Sold]]*Table1[[#This Row],[Unit_Price]]</f>
        <v>36.42</v>
      </c>
      <c r="J372" s="1">
        <v>36.42</v>
      </c>
      <c r="K372" s="1">
        <v>0</v>
      </c>
      <c r="L372" s="1">
        <v>36.42</v>
      </c>
      <c r="M372" s="1">
        <v>8.8699999999999992</v>
      </c>
      <c r="N372" s="1">
        <v>49</v>
      </c>
      <c r="O372" s="1" t="s">
        <v>26</v>
      </c>
      <c r="P372" s="1" t="s">
        <v>27</v>
      </c>
    </row>
    <row r="373" spans="1:16" x14ac:dyDescent="0.3">
      <c r="A373" s="1">
        <v>101081</v>
      </c>
      <c r="B373" s="2">
        <v>45033</v>
      </c>
      <c r="C373" s="1" t="s">
        <v>422</v>
      </c>
      <c r="D373" s="1" t="s">
        <v>24</v>
      </c>
      <c r="E373" s="1" t="s">
        <v>25</v>
      </c>
      <c r="F373" s="1" t="s">
        <v>1237</v>
      </c>
      <c r="G373" s="1" t="s">
        <v>18</v>
      </c>
      <c r="H373" s="1">
        <v>3</v>
      </c>
      <c r="I373" s="1">
        <f>Table1[[#This Row],[Units_Sold]]*Table1[[#This Row],[Unit_Price]]</f>
        <v>330.03000000000003</v>
      </c>
      <c r="J373" s="1">
        <v>110.01</v>
      </c>
      <c r="K373" s="1">
        <v>5</v>
      </c>
      <c r="L373" s="1">
        <v>313.52999999999997</v>
      </c>
      <c r="M373" s="1">
        <v>123.66</v>
      </c>
      <c r="N373" s="1">
        <v>28</v>
      </c>
      <c r="O373" s="1" t="s">
        <v>26</v>
      </c>
      <c r="P373" s="1" t="s">
        <v>35</v>
      </c>
    </row>
    <row r="374" spans="1:16" x14ac:dyDescent="0.3">
      <c r="A374" s="1">
        <v>101045</v>
      </c>
      <c r="B374" s="2">
        <v>45628</v>
      </c>
      <c r="C374" s="1" t="s">
        <v>423</v>
      </c>
      <c r="D374" s="1" t="s">
        <v>45</v>
      </c>
      <c r="E374" s="1" t="s">
        <v>30</v>
      </c>
      <c r="F374" s="1" t="s">
        <v>1240</v>
      </c>
      <c r="G374" s="1" t="s">
        <v>18</v>
      </c>
      <c r="H374" s="1">
        <v>4</v>
      </c>
      <c r="I374" s="1">
        <f>Table1[[#This Row],[Units_Sold]]*Table1[[#This Row],[Unit_Price]]</f>
        <v>69.760000000000005</v>
      </c>
      <c r="J374" s="1">
        <v>17.440000000000001</v>
      </c>
      <c r="K374" s="1">
        <v>0</v>
      </c>
      <c r="L374" s="1">
        <v>69.760000000000005</v>
      </c>
      <c r="M374" s="1">
        <v>33.71</v>
      </c>
      <c r="N374" s="1">
        <v>28</v>
      </c>
      <c r="O374" s="1" t="s">
        <v>19</v>
      </c>
      <c r="P374" s="1" t="s">
        <v>32</v>
      </c>
    </row>
    <row r="375" spans="1:16" x14ac:dyDescent="0.3">
      <c r="A375" s="1">
        <v>100552</v>
      </c>
      <c r="B375" s="2">
        <v>45490</v>
      </c>
      <c r="C375" s="1" t="s">
        <v>424</v>
      </c>
      <c r="D375" s="1" t="s">
        <v>66</v>
      </c>
      <c r="E375" s="1" t="s">
        <v>17</v>
      </c>
      <c r="F375" s="1" t="s">
        <v>1238</v>
      </c>
      <c r="G375" s="1" t="s">
        <v>31</v>
      </c>
      <c r="H375" s="1">
        <v>5</v>
      </c>
      <c r="I375" s="1">
        <f>Table1[[#This Row],[Units_Sold]]*Table1[[#This Row],[Unit_Price]]</f>
        <v>644.75</v>
      </c>
      <c r="J375" s="1">
        <v>128.94999999999999</v>
      </c>
      <c r="K375" s="1">
        <v>0</v>
      </c>
      <c r="L375" s="1">
        <v>644.75</v>
      </c>
      <c r="M375" s="1">
        <v>171.38</v>
      </c>
      <c r="N375" s="1">
        <v>25</v>
      </c>
      <c r="O375" s="1" t="s">
        <v>19</v>
      </c>
      <c r="P375" s="1" t="s">
        <v>43</v>
      </c>
    </row>
    <row r="376" spans="1:16" x14ac:dyDescent="0.3">
      <c r="A376" s="1">
        <v>100561</v>
      </c>
      <c r="B376" s="2">
        <v>45921</v>
      </c>
      <c r="C376" s="1" t="s">
        <v>425</v>
      </c>
      <c r="D376" s="1" t="s">
        <v>29</v>
      </c>
      <c r="E376" s="1" t="s">
        <v>30</v>
      </c>
      <c r="F376" s="1" t="s">
        <v>1237</v>
      </c>
      <c r="G376" s="1" t="s">
        <v>18</v>
      </c>
      <c r="H376" s="1">
        <v>1</v>
      </c>
      <c r="I376" s="1">
        <f>Table1[[#This Row],[Units_Sold]]*Table1[[#This Row],[Unit_Price]]</f>
        <v>17.79</v>
      </c>
      <c r="J376" s="1">
        <v>17.79</v>
      </c>
      <c r="K376" s="1">
        <v>0</v>
      </c>
      <c r="L376" s="1">
        <v>17.79</v>
      </c>
      <c r="M376" s="1">
        <v>5.36</v>
      </c>
      <c r="N376" s="1">
        <v>45</v>
      </c>
      <c r="O376" s="1" t="s">
        <v>26</v>
      </c>
      <c r="P376" s="1" t="s">
        <v>32</v>
      </c>
    </row>
    <row r="377" spans="1:16" x14ac:dyDescent="0.3">
      <c r="A377" s="1">
        <v>100424</v>
      </c>
      <c r="B377" s="2">
        <v>45384</v>
      </c>
      <c r="C377" s="1" t="s">
        <v>426</v>
      </c>
      <c r="D377" s="1" t="s">
        <v>66</v>
      </c>
      <c r="E377" s="1" t="s">
        <v>17</v>
      </c>
      <c r="F377" s="1" t="s">
        <v>1238</v>
      </c>
      <c r="G377" s="1" t="s">
        <v>31</v>
      </c>
      <c r="H377" s="1">
        <v>2</v>
      </c>
      <c r="I377" s="1">
        <f>Table1[[#This Row],[Units_Sold]]*Table1[[#This Row],[Unit_Price]]</f>
        <v>212.14</v>
      </c>
      <c r="J377" s="1">
        <v>106.07</v>
      </c>
      <c r="K377" s="1">
        <v>10</v>
      </c>
      <c r="L377" s="1">
        <v>190.93</v>
      </c>
      <c r="M377" s="1">
        <v>53.32</v>
      </c>
      <c r="N377" s="1">
        <v>37</v>
      </c>
      <c r="O377" s="1" t="s">
        <v>26</v>
      </c>
      <c r="P377" s="1" t="s">
        <v>32</v>
      </c>
    </row>
    <row r="378" spans="1:16" x14ac:dyDescent="0.3">
      <c r="A378" s="1">
        <v>101013</v>
      </c>
      <c r="B378" s="2">
        <v>45192</v>
      </c>
      <c r="C378" s="1" t="s">
        <v>427</v>
      </c>
      <c r="D378" s="1" t="s">
        <v>39</v>
      </c>
      <c r="E378" s="1" t="s">
        <v>25</v>
      </c>
      <c r="F378" s="1" t="s">
        <v>1237</v>
      </c>
      <c r="G378" s="1" t="s">
        <v>31</v>
      </c>
      <c r="H378" s="1">
        <v>3</v>
      </c>
      <c r="I378" s="1">
        <f>Table1[[#This Row],[Units_Sold]]*Table1[[#This Row],[Unit_Price]]</f>
        <v>589.68000000000006</v>
      </c>
      <c r="J378" s="1">
        <v>196.56</v>
      </c>
      <c r="K378" s="1">
        <v>0</v>
      </c>
      <c r="L378" s="1">
        <v>589.67999999999995</v>
      </c>
      <c r="M378" s="1">
        <v>194.21</v>
      </c>
      <c r="N378" s="1">
        <v>24</v>
      </c>
      <c r="O378" s="1" t="s">
        <v>26</v>
      </c>
      <c r="P378" s="1" t="s">
        <v>20</v>
      </c>
    </row>
    <row r="379" spans="1:16" x14ac:dyDescent="0.3">
      <c r="A379" s="1">
        <v>100325</v>
      </c>
      <c r="B379" s="2">
        <v>45196</v>
      </c>
      <c r="C379" s="1" t="s">
        <v>428</v>
      </c>
      <c r="D379" s="1" t="s">
        <v>77</v>
      </c>
      <c r="E379" s="1" t="s">
        <v>30</v>
      </c>
      <c r="F379" s="1" t="s">
        <v>1238</v>
      </c>
      <c r="G379" s="1" t="s">
        <v>31</v>
      </c>
      <c r="H379" s="1">
        <v>3</v>
      </c>
      <c r="I379" s="1">
        <f>Table1[[#This Row],[Units_Sold]]*Table1[[#This Row],[Unit_Price]]</f>
        <v>121.83</v>
      </c>
      <c r="J379" s="1">
        <v>40.61</v>
      </c>
      <c r="K379" s="1">
        <v>0</v>
      </c>
      <c r="L379" s="1">
        <v>121.83</v>
      </c>
      <c r="M379" s="1">
        <v>41.88</v>
      </c>
      <c r="N379" s="1">
        <v>32</v>
      </c>
      <c r="O379" s="1" t="s">
        <v>26</v>
      </c>
      <c r="P379" s="1" t="s">
        <v>35</v>
      </c>
    </row>
    <row r="380" spans="1:16" x14ac:dyDescent="0.3">
      <c r="A380" s="1">
        <v>100923</v>
      </c>
      <c r="B380" s="2">
        <v>45771</v>
      </c>
      <c r="C380" s="1" t="s">
        <v>429</v>
      </c>
      <c r="D380" s="1" t="s">
        <v>62</v>
      </c>
      <c r="E380" s="1" t="s">
        <v>17</v>
      </c>
      <c r="F380" s="1" t="s">
        <v>1241</v>
      </c>
      <c r="G380" s="1" t="s">
        <v>18</v>
      </c>
      <c r="H380" s="1">
        <v>3</v>
      </c>
      <c r="I380" s="1">
        <f>Table1[[#This Row],[Units_Sold]]*Table1[[#This Row],[Unit_Price]]</f>
        <v>430.26</v>
      </c>
      <c r="J380" s="1">
        <v>143.41999999999999</v>
      </c>
      <c r="K380" s="1">
        <v>0</v>
      </c>
      <c r="L380" s="1">
        <v>430.26</v>
      </c>
      <c r="M380" s="1">
        <v>137.33000000000001</v>
      </c>
      <c r="N380" s="1">
        <v>37</v>
      </c>
      <c r="O380" s="1" t="s">
        <v>19</v>
      </c>
      <c r="P380" s="1" t="s">
        <v>46</v>
      </c>
    </row>
    <row r="381" spans="1:16" x14ac:dyDescent="0.3">
      <c r="A381" s="1">
        <v>100316</v>
      </c>
      <c r="B381" s="2">
        <v>45137</v>
      </c>
      <c r="C381" s="1" t="s">
        <v>430</v>
      </c>
      <c r="D381" s="1" t="s">
        <v>56</v>
      </c>
      <c r="E381" s="1" t="s">
        <v>30</v>
      </c>
      <c r="F381" s="1" t="s">
        <v>1241</v>
      </c>
      <c r="G381" s="1" t="s">
        <v>18</v>
      </c>
      <c r="H381" s="1">
        <v>4</v>
      </c>
      <c r="I381" s="1">
        <f>Table1[[#This Row],[Units_Sold]]*Table1[[#This Row],[Unit_Price]]</f>
        <v>149.44</v>
      </c>
      <c r="J381" s="1">
        <v>37.36</v>
      </c>
      <c r="K381" s="1">
        <v>0</v>
      </c>
      <c r="L381" s="1">
        <v>149.44</v>
      </c>
      <c r="M381" s="1">
        <v>42.96</v>
      </c>
      <c r="N381" s="1">
        <v>36</v>
      </c>
      <c r="O381" s="1" t="s">
        <v>19</v>
      </c>
      <c r="P381" s="1" t="s">
        <v>51</v>
      </c>
    </row>
    <row r="382" spans="1:16" x14ac:dyDescent="0.3">
      <c r="A382" s="1">
        <v>100803</v>
      </c>
      <c r="B382" s="2">
        <v>45414</v>
      </c>
      <c r="C382" s="1" t="s">
        <v>431</v>
      </c>
      <c r="D382" s="1" t="s">
        <v>22</v>
      </c>
      <c r="E382" s="1" t="s">
        <v>17</v>
      </c>
      <c r="F382" s="1" t="s">
        <v>1238</v>
      </c>
      <c r="G382" s="1" t="s">
        <v>31</v>
      </c>
      <c r="H382" s="1">
        <v>3</v>
      </c>
      <c r="I382" s="1">
        <f>Table1[[#This Row],[Units_Sold]]*Table1[[#This Row],[Unit_Price]]</f>
        <v>78.63</v>
      </c>
      <c r="J382" s="1">
        <v>26.21</v>
      </c>
      <c r="K382" s="1">
        <v>0</v>
      </c>
      <c r="L382" s="1">
        <v>78.63</v>
      </c>
      <c r="M382" s="1">
        <v>21.36</v>
      </c>
      <c r="N382" s="1">
        <v>39</v>
      </c>
      <c r="O382" s="1" t="s">
        <v>19</v>
      </c>
      <c r="P382" s="1" t="s">
        <v>35</v>
      </c>
    </row>
    <row r="383" spans="1:16" x14ac:dyDescent="0.3">
      <c r="A383" s="1">
        <v>101162</v>
      </c>
      <c r="B383" s="2">
        <v>45700</v>
      </c>
      <c r="C383" s="1" t="s">
        <v>432</v>
      </c>
      <c r="D383" s="1" t="s">
        <v>68</v>
      </c>
      <c r="E383" s="1" t="s">
        <v>25</v>
      </c>
      <c r="F383" s="1" t="s">
        <v>1241</v>
      </c>
      <c r="G383" s="1" t="s">
        <v>48</v>
      </c>
      <c r="H383" s="1">
        <v>1</v>
      </c>
      <c r="I383" s="1">
        <f>Table1[[#This Row],[Units_Sold]]*Table1[[#This Row],[Unit_Price]]</f>
        <v>214.74</v>
      </c>
      <c r="J383" s="1">
        <v>214.74</v>
      </c>
      <c r="K383" s="1">
        <v>0</v>
      </c>
      <c r="L383" s="1">
        <v>214.74</v>
      </c>
      <c r="M383" s="1">
        <v>60.58</v>
      </c>
      <c r="N383" s="1">
        <v>18</v>
      </c>
      <c r="O383" s="1" t="s">
        <v>26</v>
      </c>
      <c r="P383" s="1" t="s">
        <v>46</v>
      </c>
    </row>
    <row r="384" spans="1:16" x14ac:dyDescent="0.3">
      <c r="A384" s="1">
        <v>100528</v>
      </c>
      <c r="B384" s="2">
        <v>45349</v>
      </c>
      <c r="C384" s="1" t="s">
        <v>433</v>
      </c>
      <c r="D384" s="1" t="s">
        <v>73</v>
      </c>
      <c r="E384" s="1" t="s">
        <v>25</v>
      </c>
      <c r="F384" s="1" t="s">
        <v>1241</v>
      </c>
      <c r="G384" s="1" t="s">
        <v>18</v>
      </c>
      <c r="H384" s="1">
        <v>3</v>
      </c>
      <c r="I384" s="1">
        <f>Table1[[#This Row],[Units_Sold]]*Table1[[#This Row],[Unit_Price]]</f>
        <v>115.47</v>
      </c>
      <c r="J384" s="1">
        <v>38.49</v>
      </c>
      <c r="K384" s="1">
        <v>0</v>
      </c>
      <c r="L384" s="1">
        <v>115.47</v>
      </c>
      <c r="M384" s="1">
        <v>34.28</v>
      </c>
      <c r="N384" s="1">
        <v>25</v>
      </c>
      <c r="O384" s="1" t="s">
        <v>19</v>
      </c>
      <c r="P384" s="1" t="s">
        <v>46</v>
      </c>
    </row>
    <row r="385" spans="1:16" x14ac:dyDescent="0.3">
      <c r="A385" s="1">
        <v>100836</v>
      </c>
      <c r="B385" s="2">
        <v>45641</v>
      </c>
      <c r="C385" s="1" t="s">
        <v>434</v>
      </c>
      <c r="D385" s="1" t="s">
        <v>59</v>
      </c>
      <c r="E385" s="1" t="s">
        <v>17</v>
      </c>
      <c r="F385" s="1" t="s">
        <v>1237</v>
      </c>
      <c r="G385" s="1" t="s">
        <v>18</v>
      </c>
      <c r="H385" s="1">
        <v>3</v>
      </c>
      <c r="I385" s="1">
        <f>Table1[[#This Row],[Units_Sold]]*Table1[[#This Row],[Unit_Price]]</f>
        <v>101.22</v>
      </c>
      <c r="J385" s="1">
        <v>33.74</v>
      </c>
      <c r="K385" s="1">
        <v>0</v>
      </c>
      <c r="L385" s="1">
        <v>101.22</v>
      </c>
      <c r="M385" s="1">
        <v>31.5</v>
      </c>
      <c r="N385" s="1">
        <v>36</v>
      </c>
      <c r="O385" s="1" t="s">
        <v>26</v>
      </c>
      <c r="P385" s="1" t="s">
        <v>20</v>
      </c>
    </row>
    <row r="386" spans="1:16" x14ac:dyDescent="0.3">
      <c r="A386" s="1">
        <v>100714</v>
      </c>
      <c r="B386" s="2">
        <v>45322</v>
      </c>
      <c r="C386" s="1" t="s">
        <v>435</v>
      </c>
      <c r="D386" s="1" t="s">
        <v>59</v>
      </c>
      <c r="E386" s="1" t="s">
        <v>17</v>
      </c>
      <c r="F386" s="1" t="s">
        <v>1238</v>
      </c>
      <c r="G386" s="1" t="s">
        <v>18</v>
      </c>
      <c r="H386" s="1">
        <v>2</v>
      </c>
      <c r="I386" s="1">
        <f>Table1[[#This Row],[Units_Sold]]*Table1[[#This Row],[Unit_Price]]</f>
        <v>62.68</v>
      </c>
      <c r="J386" s="1">
        <v>31.34</v>
      </c>
      <c r="K386" s="1">
        <v>10</v>
      </c>
      <c r="L386" s="1">
        <v>56.41</v>
      </c>
      <c r="M386" s="1">
        <v>15.34</v>
      </c>
      <c r="N386" s="1">
        <v>40</v>
      </c>
      <c r="O386" s="1" t="s">
        <v>26</v>
      </c>
      <c r="P386" s="1" t="s">
        <v>27</v>
      </c>
    </row>
    <row r="387" spans="1:16" x14ac:dyDescent="0.3">
      <c r="A387" s="1">
        <v>100900</v>
      </c>
      <c r="B387" s="2">
        <v>45074</v>
      </c>
      <c r="C387" s="1" t="s">
        <v>436</v>
      </c>
      <c r="D387" s="1" t="s">
        <v>68</v>
      </c>
      <c r="E387" s="1" t="s">
        <v>25</v>
      </c>
      <c r="F387" s="1" t="s">
        <v>1241</v>
      </c>
      <c r="G387" s="1" t="s">
        <v>18</v>
      </c>
      <c r="H387" s="1">
        <v>4</v>
      </c>
      <c r="I387" s="1">
        <f>Table1[[#This Row],[Units_Sold]]*Table1[[#This Row],[Unit_Price]]</f>
        <v>855.96</v>
      </c>
      <c r="J387" s="1">
        <v>213.99</v>
      </c>
      <c r="K387" s="1">
        <v>0</v>
      </c>
      <c r="L387" s="1">
        <v>855.96</v>
      </c>
      <c r="M387" s="1">
        <v>293.89999999999998</v>
      </c>
      <c r="N387" s="1">
        <v>29</v>
      </c>
      <c r="O387" s="1" t="s">
        <v>26</v>
      </c>
      <c r="P387" s="1" t="s">
        <v>32</v>
      </c>
    </row>
    <row r="388" spans="1:16" x14ac:dyDescent="0.3">
      <c r="A388" s="1">
        <v>100060</v>
      </c>
      <c r="B388" s="2">
        <v>45113</v>
      </c>
      <c r="C388" s="1" t="s">
        <v>437</v>
      </c>
      <c r="D388" s="1" t="s">
        <v>70</v>
      </c>
      <c r="E388" s="1" t="s">
        <v>25</v>
      </c>
      <c r="F388" s="1" t="s">
        <v>1238</v>
      </c>
      <c r="G388" s="1" t="s">
        <v>31</v>
      </c>
      <c r="H388" s="1">
        <v>2</v>
      </c>
      <c r="I388" s="1">
        <f>Table1[[#This Row],[Units_Sold]]*Table1[[#This Row],[Unit_Price]]</f>
        <v>345.9</v>
      </c>
      <c r="J388" s="1">
        <v>172.95</v>
      </c>
      <c r="K388" s="1">
        <v>40</v>
      </c>
      <c r="L388" s="1">
        <v>207.54</v>
      </c>
      <c r="M388" s="1">
        <v>73.319999999999993</v>
      </c>
      <c r="N388" s="1">
        <v>39</v>
      </c>
      <c r="O388" s="1" t="s">
        <v>26</v>
      </c>
      <c r="P388" s="1" t="s">
        <v>32</v>
      </c>
    </row>
    <row r="389" spans="1:16" x14ac:dyDescent="0.3">
      <c r="A389" s="1">
        <v>100722</v>
      </c>
      <c r="B389" s="2">
        <v>45451</v>
      </c>
      <c r="C389" s="1" t="s">
        <v>438</v>
      </c>
      <c r="D389" s="1" t="s">
        <v>77</v>
      </c>
      <c r="E389" s="1" t="s">
        <v>30</v>
      </c>
      <c r="F389" s="1" t="s">
        <v>1241</v>
      </c>
      <c r="G389" s="1" t="s">
        <v>31</v>
      </c>
      <c r="H389" s="1">
        <v>1</v>
      </c>
      <c r="I389" s="1">
        <f>Table1[[#This Row],[Units_Sold]]*Table1[[#This Row],[Unit_Price]]</f>
        <v>39.979999999999997</v>
      </c>
      <c r="J389" s="1">
        <v>39.979999999999997</v>
      </c>
      <c r="K389" s="1">
        <v>10</v>
      </c>
      <c r="L389" s="1">
        <v>35.979999999999997</v>
      </c>
      <c r="M389" s="1">
        <v>11.33</v>
      </c>
      <c r="N389" s="1">
        <v>33</v>
      </c>
      <c r="O389" s="1" t="s">
        <v>26</v>
      </c>
      <c r="P389" s="1" t="s">
        <v>46</v>
      </c>
    </row>
    <row r="390" spans="1:16" x14ac:dyDescent="0.3">
      <c r="A390" s="1">
        <v>100092</v>
      </c>
      <c r="B390" s="2">
        <v>45051</v>
      </c>
      <c r="C390" s="1" t="s">
        <v>439</v>
      </c>
      <c r="D390" s="1" t="s">
        <v>39</v>
      </c>
      <c r="E390" s="1" t="s">
        <v>25</v>
      </c>
      <c r="F390" s="1" t="s">
        <v>1237</v>
      </c>
      <c r="G390" s="1" t="s">
        <v>18</v>
      </c>
      <c r="H390" s="1">
        <v>2</v>
      </c>
      <c r="I390" s="1">
        <f>Table1[[#This Row],[Units_Sold]]*Table1[[#This Row],[Unit_Price]]</f>
        <v>360.82</v>
      </c>
      <c r="J390" s="1">
        <v>180.41</v>
      </c>
      <c r="K390" s="1">
        <v>0</v>
      </c>
      <c r="L390" s="1">
        <v>360.82</v>
      </c>
      <c r="M390" s="1">
        <v>125.72</v>
      </c>
      <c r="N390" s="1">
        <v>42</v>
      </c>
      <c r="O390" s="1" t="s">
        <v>26</v>
      </c>
      <c r="P390" s="1" t="s">
        <v>81</v>
      </c>
    </row>
    <row r="391" spans="1:16" x14ac:dyDescent="0.3">
      <c r="A391" s="1">
        <v>100857</v>
      </c>
      <c r="B391" s="2">
        <v>45318</v>
      </c>
      <c r="C391" s="1" t="s">
        <v>440</v>
      </c>
      <c r="D391" s="1" t="s">
        <v>22</v>
      </c>
      <c r="E391" s="1" t="s">
        <v>17</v>
      </c>
      <c r="F391" s="1" t="s">
        <v>1240</v>
      </c>
      <c r="G391" s="1" t="s">
        <v>31</v>
      </c>
      <c r="H391" s="1">
        <v>1</v>
      </c>
      <c r="I391" s="1">
        <f>Table1[[#This Row],[Units_Sold]]*Table1[[#This Row],[Unit_Price]]</f>
        <v>23.3</v>
      </c>
      <c r="J391" s="1">
        <v>23.3</v>
      </c>
      <c r="K391" s="1">
        <v>10</v>
      </c>
      <c r="L391" s="1">
        <v>20.97</v>
      </c>
      <c r="M391" s="1">
        <v>6.89</v>
      </c>
      <c r="N391" s="1">
        <v>25</v>
      </c>
      <c r="O391" s="1" t="s">
        <v>26</v>
      </c>
      <c r="P391" s="1" t="s">
        <v>35</v>
      </c>
    </row>
    <row r="392" spans="1:16" x14ac:dyDescent="0.3">
      <c r="A392" s="1">
        <v>100618</v>
      </c>
      <c r="B392" s="2">
        <v>45207</v>
      </c>
      <c r="C392" s="1" t="s">
        <v>441</v>
      </c>
      <c r="D392" s="1" t="s">
        <v>87</v>
      </c>
      <c r="E392" s="1" t="s">
        <v>25</v>
      </c>
      <c r="F392" s="1" t="s">
        <v>1237</v>
      </c>
      <c r="G392" s="1" t="s">
        <v>31</v>
      </c>
      <c r="H392" s="1">
        <v>6</v>
      </c>
      <c r="I392" s="1">
        <f>Table1[[#This Row],[Units_Sold]]*Table1[[#This Row],[Unit_Price]]</f>
        <v>580.68000000000006</v>
      </c>
      <c r="J392" s="1">
        <v>96.78</v>
      </c>
      <c r="K392" s="1">
        <v>10</v>
      </c>
      <c r="L392" s="1">
        <v>522.61</v>
      </c>
      <c r="M392" s="1">
        <v>175.15</v>
      </c>
      <c r="N392" s="1">
        <v>26</v>
      </c>
      <c r="O392" s="1" t="s">
        <v>26</v>
      </c>
      <c r="P392" s="1" t="s">
        <v>43</v>
      </c>
    </row>
    <row r="393" spans="1:16" x14ac:dyDescent="0.3">
      <c r="A393" s="1">
        <v>100351</v>
      </c>
      <c r="B393" s="2">
        <v>45884</v>
      </c>
      <c r="C393" s="1" t="s">
        <v>442</v>
      </c>
      <c r="D393" s="1" t="s">
        <v>42</v>
      </c>
      <c r="E393" s="1" t="s">
        <v>25</v>
      </c>
      <c r="F393" s="1" t="s">
        <v>1237</v>
      </c>
      <c r="G393" s="1" t="s">
        <v>48</v>
      </c>
      <c r="H393" s="1">
        <v>4</v>
      </c>
      <c r="I393" s="1">
        <f>Table1[[#This Row],[Units_Sold]]*Table1[[#This Row],[Unit_Price]]</f>
        <v>550.48</v>
      </c>
      <c r="J393" s="1">
        <v>137.62</v>
      </c>
      <c r="K393" s="1">
        <v>20</v>
      </c>
      <c r="L393" s="1">
        <v>440.38</v>
      </c>
      <c r="M393" s="1">
        <v>108.09</v>
      </c>
      <c r="N393" s="1">
        <v>26</v>
      </c>
      <c r="O393" s="1" t="s">
        <v>19</v>
      </c>
      <c r="P393" s="1" t="s">
        <v>81</v>
      </c>
    </row>
    <row r="394" spans="1:16" x14ac:dyDescent="0.3">
      <c r="A394" s="1">
        <v>100932</v>
      </c>
      <c r="B394" s="2">
        <v>45614</v>
      </c>
      <c r="C394" s="1" t="s">
        <v>443</v>
      </c>
      <c r="D394" s="1" t="s">
        <v>39</v>
      </c>
      <c r="E394" s="1" t="s">
        <v>25</v>
      </c>
      <c r="F394" s="1" t="s">
        <v>1241</v>
      </c>
      <c r="G394" s="1" t="s">
        <v>18</v>
      </c>
      <c r="H394" s="1">
        <v>4</v>
      </c>
      <c r="I394" s="1">
        <f>Table1[[#This Row],[Units_Sold]]*Table1[[#This Row],[Unit_Price]]</f>
        <v>635.20000000000005</v>
      </c>
      <c r="J394" s="1">
        <v>158.80000000000001</v>
      </c>
      <c r="K394" s="1">
        <v>0</v>
      </c>
      <c r="L394" s="1">
        <v>635.20000000000005</v>
      </c>
      <c r="M394" s="1">
        <v>146.93</v>
      </c>
      <c r="N394" s="1">
        <v>20</v>
      </c>
      <c r="O394" s="1" t="s">
        <v>26</v>
      </c>
      <c r="P394" s="1" t="s">
        <v>81</v>
      </c>
    </row>
    <row r="395" spans="1:16" x14ac:dyDescent="0.3">
      <c r="A395" s="1">
        <v>100280</v>
      </c>
      <c r="B395" s="2">
        <v>45038</v>
      </c>
      <c r="C395" s="1" t="s">
        <v>444</v>
      </c>
      <c r="D395" s="1" t="s">
        <v>37</v>
      </c>
      <c r="E395" s="1" t="s">
        <v>17</v>
      </c>
      <c r="F395" s="1" t="s">
        <v>1238</v>
      </c>
      <c r="G395" s="1" t="s">
        <v>31</v>
      </c>
      <c r="H395" s="1">
        <v>2</v>
      </c>
      <c r="I395" s="1">
        <f>Table1[[#This Row],[Units_Sold]]*Table1[[#This Row],[Unit_Price]]</f>
        <v>138.63999999999999</v>
      </c>
      <c r="J395" s="1">
        <v>69.319999999999993</v>
      </c>
      <c r="K395" s="1">
        <v>0</v>
      </c>
      <c r="L395" s="1">
        <v>138.63999999999999</v>
      </c>
      <c r="M395" s="1">
        <v>42.31</v>
      </c>
      <c r="N395" s="1">
        <v>35</v>
      </c>
      <c r="O395" s="1" t="s">
        <v>26</v>
      </c>
      <c r="P395" s="1" t="s">
        <v>32</v>
      </c>
    </row>
    <row r="396" spans="1:16" x14ac:dyDescent="0.3">
      <c r="A396" s="1">
        <v>100420</v>
      </c>
      <c r="B396" s="2">
        <v>45928</v>
      </c>
      <c r="C396" s="1" t="s">
        <v>445</v>
      </c>
      <c r="D396" s="1" t="s">
        <v>66</v>
      </c>
      <c r="E396" s="1" t="s">
        <v>17</v>
      </c>
      <c r="F396" s="1" t="s">
        <v>1237</v>
      </c>
      <c r="G396" s="1" t="s">
        <v>31</v>
      </c>
      <c r="H396" s="1">
        <v>6</v>
      </c>
      <c r="I396" s="1">
        <f>Table1[[#This Row],[Units_Sold]]*Table1[[#This Row],[Unit_Price]]</f>
        <v>642.59999999999991</v>
      </c>
      <c r="J396" s="1">
        <v>107.1</v>
      </c>
      <c r="K396" s="1">
        <v>0</v>
      </c>
      <c r="L396" s="1">
        <v>642.6</v>
      </c>
      <c r="M396" s="1">
        <v>118.11</v>
      </c>
      <c r="N396" s="1">
        <v>33</v>
      </c>
      <c r="O396" s="1" t="s">
        <v>26</v>
      </c>
      <c r="P396" s="1" t="s">
        <v>51</v>
      </c>
    </row>
    <row r="397" spans="1:16" x14ac:dyDescent="0.3">
      <c r="A397" s="1">
        <v>101114</v>
      </c>
      <c r="B397" s="2">
        <v>45848</v>
      </c>
      <c r="C397" s="1" t="s">
        <v>446</v>
      </c>
      <c r="D397" s="1" t="s">
        <v>34</v>
      </c>
      <c r="E397" s="1" t="s">
        <v>30</v>
      </c>
      <c r="F397" s="1" t="s">
        <v>1241</v>
      </c>
      <c r="G397" s="1" t="s">
        <v>31</v>
      </c>
      <c r="H397" s="1">
        <v>1</v>
      </c>
      <c r="I397" s="1">
        <f>Table1[[#This Row],[Units_Sold]]*Table1[[#This Row],[Unit_Price]]</f>
        <v>53.66</v>
      </c>
      <c r="J397" s="1">
        <v>53.66</v>
      </c>
      <c r="K397" s="1">
        <v>10</v>
      </c>
      <c r="L397" s="1">
        <v>48.29</v>
      </c>
      <c r="M397" s="1">
        <v>18.54</v>
      </c>
      <c r="N397" s="1">
        <v>27</v>
      </c>
      <c r="O397" s="1" t="s">
        <v>19</v>
      </c>
      <c r="P397" s="1" t="s">
        <v>43</v>
      </c>
    </row>
    <row r="398" spans="1:16" x14ac:dyDescent="0.3">
      <c r="A398" s="1">
        <v>100359</v>
      </c>
      <c r="B398" s="2">
        <v>45071</v>
      </c>
      <c r="C398" s="1" t="s">
        <v>447</v>
      </c>
      <c r="D398" s="1" t="s">
        <v>66</v>
      </c>
      <c r="E398" s="1" t="s">
        <v>17</v>
      </c>
      <c r="F398" s="1" t="s">
        <v>1241</v>
      </c>
      <c r="G398" s="1" t="s">
        <v>64</v>
      </c>
      <c r="H398" s="1">
        <v>5</v>
      </c>
      <c r="I398" s="1">
        <f>Table1[[#This Row],[Units_Sold]]*Table1[[#This Row],[Unit_Price]]</f>
        <v>611</v>
      </c>
      <c r="J398" s="1">
        <v>122.2</v>
      </c>
      <c r="K398" s="1">
        <v>0</v>
      </c>
      <c r="L398" s="1">
        <v>611</v>
      </c>
      <c r="M398" s="1">
        <v>167.15</v>
      </c>
      <c r="N398" s="1">
        <v>33</v>
      </c>
      <c r="O398" s="1" t="s">
        <v>26</v>
      </c>
      <c r="P398" s="1" t="s">
        <v>27</v>
      </c>
    </row>
    <row r="399" spans="1:16" x14ac:dyDescent="0.3">
      <c r="A399" s="1">
        <v>100422</v>
      </c>
      <c r="B399" s="2">
        <v>45799</v>
      </c>
      <c r="C399" s="1" t="s">
        <v>448</v>
      </c>
      <c r="D399" s="1" t="s">
        <v>53</v>
      </c>
      <c r="E399" s="1" t="s">
        <v>30</v>
      </c>
      <c r="F399" s="1" t="s">
        <v>1241</v>
      </c>
      <c r="G399" s="1" t="s">
        <v>31</v>
      </c>
      <c r="H399" s="1">
        <v>5</v>
      </c>
      <c r="I399" s="1">
        <f>Table1[[#This Row],[Units_Sold]]*Table1[[#This Row],[Unit_Price]]</f>
        <v>106.4</v>
      </c>
      <c r="J399" s="1">
        <v>21.28</v>
      </c>
      <c r="K399" s="1">
        <v>0</v>
      </c>
      <c r="L399" s="1">
        <v>106.4</v>
      </c>
      <c r="M399" s="1">
        <v>40.22</v>
      </c>
      <c r="N399" s="1">
        <v>23</v>
      </c>
      <c r="O399" s="1" t="s">
        <v>26</v>
      </c>
      <c r="P399" s="1" t="s">
        <v>20</v>
      </c>
    </row>
    <row r="400" spans="1:16" x14ac:dyDescent="0.3">
      <c r="A400" s="1">
        <v>100678</v>
      </c>
      <c r="B400" s="2">
        <v>45123</v>
      </c>
      <c r="C400" s="1" t="s">
        <v>449</v>
      </c>
      <c r="D400" s="1" t="s">
        <v>87</v>
      </c>
      <c r="E400" s="1" t="s">
        <v>25</v>
      </c>
      <c r="F400" s="1" t="s">
        <v>1240</v>
      </c>
      <c r="G400" s="1" t="s">
        <v>31</v>
      </c>
      <c r="H400" s="1">
        <v>6</v>
      </c>
      <c r="I400" s="1">
        <f>Table1[[#This Row],[Units_Sold]]*Table1[[#This Row],[Unit_Price]]</f>
        <v>534.36</v>
      </c>
      <c r="J400" s="1">
        <v>89.06</v>
      </c>
      <c r="K400" s="1">
        <v>0</v>
      </c>
      <c r="L400" s="1">
        <v>534.36</v>
      </c>
      <c r="M400" s="1">
        <v>143.36000000000001</v>
      </c>
      <c r="N400" s="1">
        <v>29</v>
      </c>
      <c r="O400" s="1" t="s">
        <v>19</v>
      </c>
      <c r="P400" s="1" t="s">
        <v>51</v>
      </c>
    </row>
    <row r="401" spans="1:16" x14ac:dyDescent="0.3">
      <c r="A401" s="1">
        <v>100526</v>
      </c>
      <c r="B401" s="2">
        <v>45538</v>
      </c>
      <c r="C401" s="1" t="s">
        <v>450</v>
      </c>
      <c r="D401" s="1" t="s">
        <v>37</v>
      </c>
      <c r="E401" s="1" t="s">
        <v>17</v>
      </c>
      <c r="F401" s="1" t="s">
        <v>1238</v>
      </c>
      <c r="G401" s="1" t="s">
        <v>18</v>
      </c>
      <c r="H401" s="1">
        <v>5</v>
      </c>
      <c r="I401" s="1">
        <f>Table1[[#This Row],[Units_Sold]]*Table1[[#This Row],[Unit_Price]]</f>
        <v>365.15</v>
      </c>
      <c r="J401" s="1">
        <v>73.03</v>
      </c>
      <c r="K401" s="1">
        <v>0</v>
      </c>
      <c r="L401" s="1">
        <v>365.15</v>
      </c>
      <c r="M401" s="1">
        <v>138.19999999999999</v>
      </c>
      <c r="N401" s="1">
        <v>27</v>
      </c>
      <c r="O401" s="1" t="s">
        <v>19</v>
      </c>
      <c r="P401" s="1" t="s">
        <v>32</v>
      </c>
    </row>
    <row r="402" spans="1:16" x14ac:dyDescent="0.3">
      <c r="A402" s="1">
        <v>100477</v>
      </c>
      <c r="B402" s="2">
        <v>45386</v>
      </c>
      <c r="C402" s="1" t="s">
        <v>451</v>
      </c>
      <c r="D402" s="1" t="s">
        <v>100</v>
      </c>
      <c r="E402" s="1" t="s">
        <v>25</v>
      </c>
      <c r="F402" s="1" t="s">
        <v>1239</v>
      </c>
      <c r="G402" s="1" t="s">
        <v>18</v>
      </c>
      <c r="H402" s="1">
        <v>2</v>
      </c>
      <c r="I402" s="1">
        <f>Table1[[#This Row],[Units_Sold]]*Table1[[#This Row],[Unit_Price]]</f>
        <v>247.66</v>
      </c>
      <c r="J402" s="1">
        <v>123.83</v>
      </c>
      <c r="K402" s="1">
        <v>0</v>
      </c>
      <c r="L402" s="1">
        <v>247.66</v>
      </c>
      <c r="M402" s="1">
        <v>75.69</v>
      </c>
      <c r="N402" s="1">
        <v>33</v>
      </c>
      <c r="O402" s="1" t="s">
        <v>19</v>
      </c>
      <c r="P402" s="1" t="s">
        <v>35</v>
      </c>
    </row>
    <row r="403" spans="1:16" x14ac:dyDescent="0.3">
      <c r="A403" s="1">
        <v>101094</v>
      </c>
      <c r="B403" s="2">
        <v>45562</v>
      </c>
      <c r="C403" s="1" t="s">
        <v>452</v>
      </c>
      <c r="D403" s="1" t="s">
        <v>70</v>
      </c>
      <c r="E403" s="1" t="s">
        <v>25</v>
      </c>
      <c r="F403" s="1" t="s">
        <v>1241</v>
      </c>
      <c r="G403" s="1" t="s">
        <v>48</v>
      </c>
      <c r="H403" s="1">
        <v>4</v>
      </c>
      <c r="I403" s="1">
        <f>Table1[[#This Row],[Units_Sold]]*Table1[[#This Row],[Unit_Price]]</f>
        <v>517.52</v>
      </c>
      <c r="J403" s="1">
        <v>129.38</v>
      </c>
      <c r="K403" s="1">
        <v>0</v>
      </c>
      <c r="L403" s="1">
        <v>517.52</v>
      </c>
      <c r="M403" s="1">
        <v>124.13</v>
      </c>
      <c r="N403" s="1">
        <v>18</v>
      </c>
      <c r="O403" s="1" t="s">
        <v>26</v>
      </c>
      <c r="P403" s="1" t="s">
        <v>27</v>
      </c>
    </row>
    <row r="404" spans="1:16" x14ac:dyDescent="0.3">
      <c r="A404" s="1">
        <v>100182</v>
      </c>
      <c r="B404" s="2">
        <v>45056</v>
      </c>
      <c r="C404" s="1" t="s">
        <v>453</v>
      </c>
      <c r="D404" s="1" t="s">
        <v>24</v>
      </c>
      <c r="E404" s="1" t="s">
        <v>25</v>
      </c>
      <c r="F404" s="1" t="s">
        <v>1237</v>
      </c>
      <c r="G404" s="1" t="s">
        <v>18</v>
      </c>
      <c r="H404" s="1">
        <v>3</v>
      </c>
      <c r="I404" s="1">
        <f>Table1[[#This Row],[Units_Sold]]*Table1[[#This Row],[Unit_Price]]</f>
        <v>297.99</v>
      </c>
      <c r="J404" s="1">
        <v>99.33</v>
      </c>
      <c r="K404" s="1">
        <v>20</v>
      </c>
      <c r="L404" s="1">
        <v>238.39</v>
      </c>
      <c r="M404" s="1">
        <v>76.849999999999994</v>
      </c>
      <c r="N404" s="1">
        <v>39</v>
      </c>
      <c r="O404" s="1" t="s">
        <v>19</v>
      </c>
      <c r="P404" s="1" t="s">
        <v>81</v>
      </c>
    </row>
    <row r="405" spans="1:16" x14ac:dyDescent="0.3">
      <c r="A405" s="1">
        <v>101091</v>
      </c>
      <c r="B405" s="2">
        <v>45288</v>
      </c>
      <c r="C405" s="1" t="s">
        <v>454</v>
      </c>
      <c r="D405" s="1" t="s">
        <v>24</v>
      </c>
      <c r="E405" s="1" t="s">
        <v>25</v>
      </c>
      <c r="F405" s="1" t="s">
        <v>1237</v>
      </c>
      <c r="G405" s="1" t="s">
        <v>31</v>
      </c>
      <c r="H405" s="1">
        <v>3</v>
      </c>
      <c r="I405" s="1">
        <f>Table1[[#This Row],[Units_Sold]]*Table1[[#This Row],[Unit_Price]]</f>
        <v>291.12</v>
      </c>
      <c r="J405" s="1">
        <v>97.04</v>
      </c>
      <c r="K405" s="1">
        <v>10</v>
      </c>
      <c r="L405" s="1">
        <v>262.01</v>
      </c>
      <c r="M405" s="1">
        <v>102.99</v>
      </c>
      <c r="N405" s="1">
        <v>22</v>
      </c>
      <c r="O405" s="1" t="s">
        <v>122</v>
      </c>
      <c r="P405" s="1" t="s">
        <v>20</v>
      </c>
    </row>
    <row r="406" spans="1:16" x14ac:dyDescent="0.3">
      <c r="A406" s="1">
        <v>100432</v>
      </c>
      <c r="B406" s="2">
        <v>45635</v>
      </c>
      <c r="C406" s="1" t="s">
        <v>455</v>
      </c>
      <c r="D406" s="1" t="s">
        <v>77</v>
      </c>
      <c r="E406" s="1" t="s">
        <v>30</v>
      </c>
      <c r="F406" s="1" t="s">
        <v>1237</v>
      </c>
      <c r="G406" s="1" t="s">
        <v>18</v>
      </c>
      <c r="H406" s="1">
        <v>3</v>
      </c>
      <c r="I406" s="1">
        <f>Table1[[#This Row],[Units_Sold]]*Table1[[#This Row],[Unit_Price]]</f>
        <v>114.27000000000001</v>
      </c>
      <c r="J406" s="1">
        <v>38.090000000000003</v>
      </c>
      <c r="K406" s="1">
        <v>20</v>
      </c>
      <c r="L406" s="1">
        <v>91.42</v>
      </c>
      <c r="M406" s="1">
        <v>31.63</v>
      </c>
      <c r="N406" s="1">
        <v>33</v>
      </c>
      <c r="O406" s="1" t="s">
        <v>19</v>
      </c>
      <c r="P406" s="1" t="s">
        <v>43</v>
      </c>
    </row>
    <row r="407" spans="1:16" x14ac:dyDescent="0.3">
      <c r="A407" s="1">
        <v>100110</v>
      </c>
      <c r="B407" s="2">
        <v>45243</v>
      </c>
      <c r="C407" s="1" t="s">
        <v>456</v>
      </c>
      <c r="D407" s="1" t="s">
        <v>29</v>
      </c>
      <c r="E407" s="1" t="s">
        <v>30</v>
      </c>
      <c r="F407" s="1" t="s">
        <v>1238</v>
      </c>
      <c r="G407" s="1" t="s">
        <v>18</v>
      </c>
      <c r="H407" s="1">
        <v>3</v>
      </c>
      <c r="I407" s="1">
        <f>Table1[[#This Row],[Units_Sold]]*Table1[[#This Row],[Unit_Price]]</f>
        <v>52.92</v>
      </c>
      <c r="J407" s="1">
        <v>17.64</v>
      </c>
      <c r="K407" s="1">
        <v>10</v>
      </c>
      <c r="L407" s="1">
        <v>47.63</v>
      </c>
      <c r="M407" s="1">
        <v>20.059999999999999</v>
      </c>
      <c r="N407" s="1">
        <v>30</v>
      </c>
      <c r="O407" s="1" t="s">
        <v>19</v>
      </c>
      <c r="P407" s="1" t="s">
        <v>43</v>
      </c>
    </row>
    <row r="408" spans="1:16" x14ac:dyDescent="0.3">
      <c r="A408" s="1">
        <v>100370</v>
      </c>
      <c r="B408" s="2">
        <v>45784</v>
      </c>
      <c r="C408" s="1" t="s">
        <v>457</v>
      </c>
      <c r="D408" s="1" t="s">
        <v>22</v>
      </c>
      <c r="E408" s="1" t="s">
        <v>17</v>
      </c>
      <c r="F408" s="1" t="s">
        <v>1241</v>
      </c>
      <c r="G408" s="1" t="s">
        <v>31</v>
      </c>
      <c r="H408" s="1">
        <v>4</v>
      </c>
      <c r="I408" s="1">
        <f>Table1[[#This Row],[Units_Sold]]*Table1[[#This Row],[Unit_Price]]</f>
        <v>98.92</v>
      </c>
      <c r="J408" s="1">
        <v>24.73</v>
      </c>
      <c r="K408" s="1">
        <v>0</v>
      </c>
      <c r="L408" s="1">
        <v>98.92</v>
      </c>
      <c r="M408" s="1">
        <v>33.65</v>
      </c>
      <c r="N408" s="1">
        <v>45</v>
      </c>
      <c r="O408" s="1" t="s">
        <v>26</v>
      </c>
      <c r="P408" s="1" t="s">
        <v>43</v>
      </c>
    </row>
    <row r="409" spans="1:16" x14ac:dyDescent="0.3">
      <c r="A409" s="1">
        <v>100239</v>
      </c>
      <c r="B409" s="2">
        <v>44995</v>
      </c>
      <c r="C409" s="1" t="s">
        <v>458</v>
      </c>
      <c r="D409" s="1" t="s">
        <v>87</v>
      </c>
      <c r="E409" s="1" t="s">
        <v>25</v>
      </c>
      <c r="F409" s="1" t="s">
        <v>1238</v>
      </c>
      <c r="G409" s="1" t="s">
        <v>31</v>
      </c>
      <c r="H409" s="1">
        <v>5</v>
      </c>
      <c r="I409" s="1">
        <f>Table1[[#This Row],[Units_Sold]]*Table1[[#This Row],[Unit_Price]]</f>
        <v>383.84999999999997</v>
      </c>
      <c r="J409" s="1">
        <v>76.77</v>
      </c>
      <c r="K409" s="1">
        <v>0</v>
      </c>
      <c r="L409" s="1">
        <v>383.85</v>
      </c>
      <c r="M409" s="1">
        <v>117.01</v>
      </c>
      <c r="N409" s="1">
        <v>24</v>
      </c>
      <c r="O409" s="1" t="s">
        <v>19</v>
      </c>
      <c r="P409" s="1" t="s">
        <v>51</v>
      </c>
    </row>
    <row r="410" spans="1:16" x14ac:dyDescent="0.3">
      <c r="A410" s="1">
        <v>100708</v>
      </c>
      <c r="B410" s="2">
        <v>45473</v>
      </c>
      <c r="C410" s="1" t="s">
        <v>459</v>
      </c>
      <c r="D410" s="1" t="s">
        <v>16</v>
      </c>
      <c r="E410" s="1" t="s">
        <v>17</v>
      </c>
      <c r="F410" s="1" t="s">
        <v>1241</v>
      </c>
      <c r="G410" s="1" t="s">
        <v>64</v>
      </c>
      <c r="H410" s="1">
        <v>3</v>
      </c>
      <c r="I410" s="1">
        <f>Table1[[#This Row],[Units_Sold]]*Table1[[#This Row],[Unit_Price]]</f>
        <v>172.74</v>
      </c>
      <c r="J410" s="1">
        <v>57.58</v>
      </c>
      <c r="K410" s="1">
        <v>10</v>
      </c>
      <c r="L410" s="1">
        <v>155.47</v>
      </c>
      <c r="M410" s="1">
        <v>39.68</v>
      </c>
      <c r="N410" s="1">
        <v>42</v>
      </c>
      <c r="O410" s="1" t="s">
        <v>19</v>
      </c>
      <c r="P410" s="1" t="s">
        <v>46</v>
      </c>
    </row>
    <row r="411" spans="1:16" x14ac:dyDescent="0.3">
      <c r="A411" s="1">
        <v>100629</v>
      </c>
      <c r="B411" s="2">
        <v>45242</v>
      </c>
      <c r="C411" s="1" t="s">
        <v>460</v>
      </c>
      <c r="D411" s="1" t="s">
        <v>62</v>
      </c>
      <c r="E411" s="1" t="s">
        <v>17</v>
      </c>
      <c r="F411" s="1" t="s">
        <v>1241</v>
      </c>
      <c r="G411" s="1" t="s">
        <v>48</v>
      </c>
      <c r="H411" s="1">
        <v>4</v>
      </c>
      <c r="I411" s="1">
        <f>Table1[[#This Row],[Units_Sold]]*Table1[[#This Row],[Unit_Price]]</f>
        <v>499.28</v>
      </c>
      <c r="J411" s="1">
        <v>124.82</v>
      </c>
      <c r="K411" s="1">
        <v>10</v>
      </c>
      <c r="L411" s="1">
        <v>449.35</v>
      </c>
      <c r="M411" s="1">
        <v>136.62</v>
      </c>
      <c r="N411" s="1">
        <v>31</v>
      </c>
      <c r="O411" s="1" t="s">
        <v>19</v>
      </c>
      <c r="P411" s="1" t="s">
        <v>32</v>
      </c>
    </row>
    <row r="412" spans="1:16" x14ac:dyDescent="0.3">
      <c r="A412" s="1">
        <v>100593</v>
      </c>
      <c r="B412" s="2">
        <v>45356</v>
      </c>
      <c r="C412" s="1" t="s">
        <v>461</v>
      </c>
      <c r="D412" s="1" t="s">
        <v>16</v>
      </c>
      <c r="E412" s="1" t="s">
        <v>17</v>
      </c>
      <c r="F412" s="1" t="s">
        <v>1237</v>
      </c>
      <c r="G412" s="1" t="s">
        <v>18</v>
      </c>
      <c r="H412" s="1">
        <v>2</v>
      </c>
      <c r="I412" s="1">
        <f>Table1[[#This Row],[Units_Sold]]*Table1[[#This Row],[Unit_Price]]</f>
        <v>106.34</v>
      </c>
      <c r="J412" s="1">
        <v>53.17</v>
      </c>
      <c r="K412" s="1">
        <v>5</v>
      </c>
      <c r="L412" s="1">
        <v>101.02</v>
      </c>
      <c r="M412" s="1">
        <v>20.3</v>
      </c>
      <c r="N412" s="1">
        <v>36</v>
      </c>
      <c r="O412" s="1" t="s">
        <v>19</v>
      </c>
      <c r="P412" s="1" t="s">
        <v>27</v>
      </c>
    </row>
    <row r="413" spans="1:16" x14ac:dyDescent="0.3">
      <c r="A413" s="1">
        <v>100485</v>
      </c>
      <c r="B413" s="2">
        <v>45036</v>
      </c>
      <c r="C413" s="1" t="s">
        <v>462</v>
      </c>
      <c r="D413" s="1" t="s">
        <v>68</v>
      </c>
      <c r="E413" s="1" t="s">
        <v>25</v>
      </c>
      <c r="F413" s="1" t="s">
        <v>1237</v>
      </c>
      <c r="G413" s="1" t="s">
        <v>18</v>
      </c>
      <c r="H413" s="1">
        <v>3</v>
      </c>
      <c r="I413" s="1">
        <f>Table1[[#This Row],[Units_Sold]]*Table1[[#This Row],[Unit_Price]]</f>
        <v>635.84999999999991</v>
      </c>
      <c r="J413" s="1">
        <v>211.95</v>
      </c>
      <c r="K413" s="1">
        <v>5</v>
      </c>
      <c r="L413" s="1">
        <v>604.05999999999995</v>
      </c>
      <c r="M413" s="1">
        <v>172.89</v>
      </c>
      <c r="N413" s="1">
        <v>37</v>
      </c>
      <c r="O413" s="1" t="s">
        <v>26</v>
      </c>
      <c r="P413" s="1" t="s">
        <v>43</v>
      </c>
    </row>
    <row r="414" spans="1:16" x14ac:dyDescent="0.3">
      <c r="A414" s="1">
        <v>100700</v>
      </c>
      <c r="B414" s="2">
        <v>45016</v>
      </c>
      <c r="C414" s="1" t="s">
        <v>463</v>
      </c>
      <c r="D414" s="1" t="s">
        <v>24</v>
      </c>
      <c r="E414" s="1" t="s">
        <v>25</v>
      </c>
      <c r="F414" s="1" t="s">
        <v>1241</v>
      </c>
      <c r="G414" s="1" t="s">
        <v>64</v>
      </c>
      <c r="H414" s="1">
        <v>5</v>
      </c>
      <c r="I414" s="1">
        <f>Table1[[#This Row],[Units_Sold]]*Table1[[#This Row],[Unit_Price]]</f>
        <v>448.7</v>
      </c>
      <c r="J414" s="1">
        <v>89.74</v>
      </c>
      <c r="K414" s="1">
        <v>5</v>
      </c>
      <c r="L414" s="1">
        <v>426.26</v>
      </c>
      <c r="M414" s="1">
        <v>85.91</v>
      </c>
      <c r="N414" s="1">
        <v>28</v>
      </c>
      <c r="O414" s="1" t="s">
        <v>26</v>
      </c>
      <c r="P414" s="1" t="s">
        <v>35</v>
      </c>
    </row>
    <row r="415" spans="1:16" x14ac:dyDescent="0.3">
      <c r="A415" s="1">
        <v>100261</v>
      </c>
      <c r="B415" s="2">
        <v>45849</v>
      </c>
      <c r="C415" s="1" t="s">
        <v>259</v>
      </c>
      <c r="D415" s="1" t="s">
        <v>77</v>
      </c>
      <c r="E415" s="1" t="s">
        <v>30</v>
      </c>
      <c r="F415" s="1" t="s">
        <v>1241</v>
      </c>
      <c r="G415" s="1" t="s">
        <v>18</v>
      </c>
      <c r="H415" s="1">
        <v>6</v>
      </c>
      <c r="I415" s="1">
        <f>Table1[[#This Row],[Units_Sold]]*Table1[[#This Row],[Unit_Price]]</f>
        <v>235.98</v>
      </c>
      <c r="J415" s="1">
        <v>39.33</v>
      </c>
      <c r="K415" s="1">
        <v>5</v>
      </c>
      <c r="L415" s="1">
        <v>224.18</v>
      </c>
      <c r="M415" s="1">
        <v>84.62</v>
      </c>
      <c r="N415" s="1">
        <v>26</v>
      </c>
      <c r="O415" s="1" t="s">
        <v>19</v>
      </c>
      <c r="P415" s="1" t="s">
        <v>81</v>
      </c>
    </row>
    <row r="416" spans="1:16" x14ac:dyDescent="0.3">
      <c r="A416" s="1">
        <v>100479</v>
      </c>
      <c r="B416" s="2">
        <v>45134</v>
      </c>
      <c r="C416" s="1" t="s">
        <v>464</v>
      </c>
      <c r="D416" s="1" t="s">
        <v>56</v>
      </c>
      <c r="E416" s="1" t="s">
        <v>30</v>
      </c>
      <c r="F416" s="1" t="s">
        <v>1238</v>
      </c>
      <c r="G416" s="1" t="s">
        <v>18</v>
      </c>
      <c r="H416" s="1">
        <v>4</v>
      </c>
      <c r="I416" s="1">
        <f>Table1[[#This Row],[Units_Sold]]*Table1[[#This Row],[Unit_Price]]</f>
        <v>161.32</v>
      </c>
      <c r="J416" s="1">
        <v>40.33</v>
      </c>
      <c r="K416" s="1">
        <v>0</v>
      </c>
      <c r="L416" s="1">
        <v>161.32</v>
      </c>
      <c r="M416" s="1">
        <v>56.08</v>
      </c>
      <c r="N416" s="1">
        <v>22</v>
      </c>
      <c r="O416" s="1" t="s">
        <v>26</v>
      </c>
      <c r="P416" s="1" t="s">
        <v>27</v>
      </c>
    </row>
    <row r="417" spans="1:16" x14ac:dyDescent="0.3">
      <c r="A417" s="1">
        <v>100649</v>
      </c>
      <c r="B417" s="2">
        <v>44982</v>
      </c>
      <c r="C417" s="1" t="s">
        <v>465</v>
      </c>
      <c r="D417" s="1" t="s">
        <v>22</v>
      </c>
      <c r="E417" s="1" t="s">
        <v>17</v>
      </c>
      <c r="F417" s="1" t="s">
        <v>1241</v>
      </c>
      <c r="G417" s="1" t="s">
        <v>18</v>
      </c>
      <c r="H417" s="1">
        <v>2</v>
      </c>
      <c r="I417" s="1">
        <f>Table1[[#This Row],[Units_Sold]]*Table1[[#This Row],[Unit_Price]]</f>
        <v>44.66</v>
      </c>
      <c r="J417" s="1">
        <v>22.33</v>
      </c>
      <c r="K417" s="1">
        <v>0</v>
      </c>
      <c r="L417" s="1">
        <v>44.66</v>
      </c>
      <c r="M417" s="1">
        <v>11.29</v>
      </c>
      <c r="N417" s="1">
        <v>28</v>
      </c>
      <c r="O417" s="1" t="s">
        <v>26</v>
      </c>
      <c r="P417" s="1" t="s">
        <v>20</v>
      </c>
    </row>
    <row r="418" spans="1:16" x14ac:dyDescent="0.3">
      <c r="A418" s="1">
        <v>100339</v>
      </c>
      <c r="B418" s="2">
        <v>45198</v>
      </c>
      <c r="C418" s="1" t="s">
        <v>466</v>
      </c>
      <c r="D418" s="1" t="s">
        <v>87</v>
      </c>
      <c r="E418" s="1" t="s">
        <v>25</v>
      </c>
      <c r="F418" s="1" t="s">
        <v>1237</v>
      </c>
      <c r="G418" s="1" t="s">
        <v>18</v>
      </c>
      <c r="H418" s="1">
        <v>3</v>
      </c>
      <c r="I418" s="1">
        <f>Table1[[#This Row],[Units_Sold]]*Table1[[#This Row],[Unit_Price]]</f>
        <v>243.20999999999998</v>
      </c>
      <c r="J418" s="1">
        <v>81.069999999999993</v>
      </c>
      <c r="K418" s="1">
        <v>10</v>
      </c>
      <c r="L418" s="1">
        <v>218.89</v>
      </c>
      <c r="M418" s="1">
        <v>63.91</v>
      </c>
      <c r="N418" s="1">
        <v>35</v>
      </c>
      <c r="O418" s="1" t="s">
        <v>19</v>
      </c>
      <c r="P418" s="1" t="s">
        <v>81</v>
      </c>
    </row>
    <row r="419" spans="1:16" x14ac:dyDescent="0.3">
      <c r="A419" s="1">
        <v>100668</v>
      </c>
      <c r="B419" s="2">
        <v>44984</v>
      </c>
      <c r="C419" s="1" t="s">
        <v>467</v>
      </c>
      <c r="D419" s="1" t="s">
        <v>66</v>
      </c>
      <c r="E419" s="1" t="s">
        <v>17</v>
      </c>
      <c r="F419" s="1" t="s">
        <v>1241</v>
      </c>
      <c r="G419" s="1" t="s">
        <v>18</v>
      </c>
      <c r="H419" s="1">
        <v>3</v>
      </c>
      <c r="I419" s="1">
        <f>Table1[[#This Row],[Units_Sold]]*Table1[[#This Row],[Unit_Price]]</f>
        <v>341.88</v>
      </c>
      <c r="J419" s="1">
        <v>113.96</v>
      </c>
      <c r="K419" s="1">
        <v>0</v>
      </c>
      <c r="L419" s="1">
        <v>341.88</v>
      </c>
      <c r="M419" s="1">
        <v>80.36</v>
      </c>
      <c r="N419" s="1">
        <v>45</v>
      </c>
      <c r="O419" s="1" t="s">
        <v>19</v>
      </c>
      <c r="P419" s="1" t="s">
        <v>46</v>
      </c>
    </row>
    <row r="420" spans="1:16" x14ac:dyDescent="0.3">
      <c r="A420" s="1">
        <v>100551</v>
      </c>
      <c r="B420" s="2">
        <v>45738</v>
      </c>
      <c r="C420" s="1" t="s">
        <v>468</v>
      </c>
      <c r="D420" s="1" t="s">
        <v>42</v>
      </c>
      <c r="E420" s="1" t="s">
        <v>25</v>
      </c>
      <c r="F420" s="1" t="s">
        <v>1238</v>
      </c>
      <c r="G420" s="1" t="s">
        <v>31</v>
      </c>
      <c r="H420" s="1">
        <v>5</v>
      </c>
      <c r="I420" s="1">
        <f>Table1[[#This Row],[Units_Sold]]*Table1[[#This Row],[Unit_Price]]</f>
        <v>800.65</v>
      </c>
      <c r="J420" s="1">
        <v>160.13</v>
      </c>
      <c r="K420" s="1">
        <v>0</v>
      </c>
      <c r="L420" s="1">
        <v>800.65</v>
      </c>
      <c r="M420" s="1">
        <v>202.21</v>
      </c>
      <c r="N420" s="1">
        <v>43</v>
      </c>
      <c r="O420" s="1" t="s">
        <v>26</v>
      </c>
      <c r="P420" s="1" t="s">
        <v>46</v>
      </c>
    </row>
    <row r="421" spans="1:16" x14ac:dyDescent="0.3">
      <c r="A421" s="1">
        <v>100458</v>
      </c>
      <c r="B421" s="2">
        <v>45854</v>
      </c>
      <c r="C421" s="1" t="s">
        <v>469</v>
      </c>
      <c r="D421" s="1" t="s">
        <v>56</v>
      </c>
      <c r="E421" s="1" t="s">
        <v>30</v>
      </c>
      <c r="F421" s="1" t="s">
        <v>1241</v>
      </c>
      <c r="G421" s="1" t="s">
        <v>31</v>
      </c>
      <c r="H421" s="1">
        <v>3</v>
      </c>
      <c r="I421" s="1">
        <f>Table1[[#This Row],[Units_Sold]]*Table1[[#This Row],[Unit_Price]]</f>
        <v>135.18</v>
      </c>
      <c r="J421" s="1">
        <v>45.06</v>
      </c>
      <c r="K421" s="1">
        <v>10</v>
      </c>
      <c r="L421" s="1">
        <v>121.66</v>
      </c>
      <c r="M421" s="1">
        <v>39.409999999999997</v>
      </c>
      <c r="N421" s="1">
        <v>25</v>
      </c>
      <c r="O421" s="1" t="s">
        <v>26</v>
      </c>
      <c r="P421" s="1" t="s">
        <v>27</v>
      </c>
    </row>
    <row r="422" spans="1:16" x14ac:dyDescent="0.3">
      <c r="A422" s="1">
        <v>100183</v>
      </c>
      <c r="B422" s="2">
        <v>45898</v>
      </c>
      <c r="C422" s="1" t="s">
        <v>470</v>
      </c>
      <c r="D422" s="1" t="s">
        <v>59</v>
      </c>
      <c r="E422" s="1" t="s">
        <v>17</v>
      </c>
      <c r="F422" s="1" t="s">
        <v>1237</v>
      </c>
      <c r="G422" s="1" t="s">
        <v>31</v>
      </c>
      <c r="H422" s="1">
        <v>2</v>
      </c>
      <c r="I422" s="1">
        <f>Table1[[#This Row],[Units_Sold]]*Table1[[#This Row],[Unit_Price]]</f>
        <v>62.36</v>
      </c>
      <c r="J422" s="1">
        <v>31.18</v>
      </c>
      <c r="K422" s="1">
        <v>5</v>
      </c>
      <c r="L422" s="1">
        <v>59.24</v>
      </c>
      <c r="M422" s="1">
        <v>17.920000000000002</v>
      </c>
      <c r="N422" s="1">
        <v>23</v>
      </c>
      <c r="O422" s="1" t="s">
        <v>26</v>
      </c>
      <c r="P422" s="1" t="s">
        <v>32</v>
      </c>
    </row>
    <row r="423" spans="1:16" x14ac:dyDescent="0.3">
      <c r="A423" s="1">
        <v>100137</v>
      </c>
      <c r="B423" s="2">
        <v>45665</v>
      </c>
      <c r="C423" s="1" t="s">
        <v>471</v>
      </c>
      <c r="D423" s="1" t="s">
        <v>66</v>
      </c>
      <c r="E423" s="1" t="s">
        <v>17</v>
      </c>
      <c r="F423" s="1" t="s">
        <v>1237</v>
      </c>
      <c r="G423" s="1" t="s">
        <v>18</v>
      </c>
      <c r="H423" s="1">
        <v>3</v>
      </c>
      <c r="I423" s="1">
        <f>Table1[[#This Row],[Units_Sold]]*Table1[[#This Row],[Unit_Price]]</f>
        <v>310.74</v>
      </c>
      <c r="J423" s="1">
        <v>103.58</v>
      </c>
      <c r="K423" s="1">
        <v>0</v>
      </c>
      <c r="L423" s="1">
        <v>310.74</v>
      </c>
      <c r="M423" s="1">
        <v>62.98</v>
      </c>
      <c r="N423" s="1">
        <v>30</v>
      </c>
      <c r="O423" s="1" t="s">
        <v>26</v>
      </c>
      <c r="P423" s="1" t="s">
        <v>35</v>
      </c>
    </row>
    <row r="424" spans="1:16" x14ac:dyDescent="0.3">
      <c r="A424" s="1">
        <v>101160</v>
      </c>
      <c r="B424" s="2">
        <v>45924</v>
      </c>
      <c r="C424" s="1" t="s">
        <v>472</v>
      </c>
      <c r="D424" s="1" t="s">
        <v>22</v>
      </c>
      <c r="E424" s="1" t="s">
        <v>17</v>
      </c>
      <c r="F424" s="1" t="s">
        <v>1241</v>
      </c>
      <c r="G424" s="1" t="s">
        <v>31</v>
      </c>
      <c r="H424" s="1">
        <v>3</v>
      </c>
      <c r="I424" s="1">
        <f>Table1[[#This Row],[Units_Sold]]*Table1[[#This Row],[Unit_Price]]</f>
        <v>77.489999999999995</v>
      </c>
      <c r="J424" s="1">
        <v>25.83</v>
      </c>
      <c r="K424" s="1">
        <v>0</v>
      </c>
      <c r="L424" s="1">
        <v>77.489999999999995</v>
      </c>
      <c r="M424" s="1">
        <v>27.12</v>
      </c>
      <c r="N424" s="1">
        <v>37</v>
      </c>
      <c r="O424" s="1" t="s">
        <v>26</v>
      </c>
      <c r="P424" s="1" t="s">
        <v>43</v>
      </c>
    </row>
    <row r="425" spans="1:16" x14ac:dyDescent="0.3">
      <c r="A425" s="1">
        <v>100706</v>
      </c>
      <c r="B425" s="2">
        <v>45786</v>
      </c>
      <c r="C425" s="1" t="s">
        <v>473</v>
      </c>
      <c r="D425" s="1" t="s">
        <v>68</v>
      </c>
      <c r="E425" s="1" t="s">
        <v>25</v>
      </c>
      <c r="F425" s="1" t="s">
        <v>1241</v>
      </c>
      <c r="G425" s="1" t="s">
        <v>64</v>
      </c>
      <c r="H425" s="1">
        <v>2</v>
      </c>
      <c r="I425" s="1">
        <f>Table1[[#This Row],[Units_Sold]]*Table1[[#This Row],[Unit_Price]]</f>
        <v>407.6</v>
      </c>
      <c r="J425" s="1">
        <v>203.8</v>
      </c>
      <c r="K425" s="1">
        <v>20</v>
      </c>
      <c r="L425" s="1">
        <v>326.08</v>
      </c>
      <c r="M425" s="1">
        <v>89.79</v>
      </c>
      <c r="N425" s="1">
        <v>22</v>
      </c>
      <c r="O425" s="1" t="s">
        <v>19</v>
      </c>
      <c r="P425" s="1" t="s">
        <v>46</v>
      </c>
    </row>
    <row r="426" spans="1:16" x14ac:dyDescent="0.3">
      <c r="A426" s="1">
        <v>100581</v>
      </c>
      <c r="B426" s="2">
        <v>45690</v>
      </c>
      <c r="C426" s="1" t="s">
        <v>474</v>
      </c>
      <c r="D426" s="1" t="s">
        <v>22</v>
      </c>
      <c r="E426" s="1" t="s">
        <v>17</v>
      </c>
      <c r="F426" s="1" t="s">
        <v>1241</v>
      </c>
      <c r="G426" s="1" t="s">
        <v>18</v>
      </c>
      <c r="H426" s="1">
        <v>1</v>
      </c>
      <c r="I426" s="1">
        <f>Table1[[#This Row],[Units_Sold]]*Table1[[#This Row],[Unit_Price]]</f>
        <v>24.55</v>
      </c>
      <c r="J426" s="1">
        <v>24.55</v>
      </c>
      <c r="K426" s="1">
        <v>20</v>
      </c>
      <c r="L426" s="1">
        <v>19.64</v>
      </c>
      <c r="M426" s="1">
        <v>6.73</v>
      </c>
      <c r="N426" s="1">
        <v>43</v>
      </c>
      <c r="O426" s="1" t="s">
        <v>26</v>
      </c>
      <c r="P426" s="1" t="s">
        <v>20</v>
      </c>
    </row>
    <row r="427" spans="1:16" x14ac:dyDescent="0.3">
      <c r="A427" s="1">
        <v>100080</v>
      </c>
      <c r="B427" s="2">
        <v>45231</v>
      </c>
      <c r="C427" s="1" t="s">
        <v>475</v>
      </c>
      <c r="D427" s="1" t="s">
        <v>77</v>
      </c>
      <c r="E427" s="1" t="s">
        <v>30</v>
      </c>
      <c r="F427" s="1" t="s">
        <v>1238</v>
      </c>
      <c r="G427" s="1" t="s">
        <v>31</v>
      </c>
      <c r="H427" s="1">
        <v>5</v>
      </c>
      <c r="I427" s="1">
        <f>Table1[[#This Row],[Units_Sold]]*Table1[[#This Row],[Unit_Price]]</f>
        <v>201.85</v>
      </c>
      <c r="J427" s="1">
        <v>40.369999999999997</v>
      </c>
      <c r="K427" s="1">
        <v>0</v>
      </c>
      <c r="L427" s="1">
        <v>201.85</v>
      </c>
      <c r="M427" s="1">
        <v>88.53</v>
      </c>
      <c r="N427" s="1">
        <v>35</v>
      </c>
      <c r="O427" s="1" t="s">
        <v>19</v>
      </c>
      <c r="P427" s="1" t="s">
        <v>27</v>
      </c>
    </row>
    <row r="428" spans="1:16" x14ac:dyDescent="0.3">
      <c r="A428" s="1">
        <v>100768</v>
      </c>
      <c r="B428" s="2">
        <v>45150</v>
      </c>
      <c r="C428" s="1" t="s">
        <v>476</v>
      </c>
      <c r="D428" s="1" t="s">
        <v>68</v>
      </c>
      <c r="E428" s="1" t="s">
        <v>25</v>
      </c>
      <c r="F428" s="1" t="s">
        <v>1241</v>
      </c>
      <c r="G428" s="1" t="s">
        <v>18</v>
      </c>
      <c r="H428" s="1">
        <v>3</v>
      </c>
      <c r="I428" s="1">
        <f>Table1[[#This Row],[Units_Sold]]*Table1[[#This Row],[Unit_Price]]</f>
        <v>715.71</v>
      </c>
      <c r="J428" s="1">
        <v>238.57</v>
      </c>
      <c r="K428" s="1">
        <v>10</v>
      </c>
      <c r="L428" s="1">
        <v>644.14</v>
      </c>
      <c r="M428" s="1">
        <v>187.22</v>
      </c>
      <c r="N428" s="1">
        <v>39</v>
      </c>
      <c r="O428" s="1" t="s">
        <v>26</v>
      </c>
      <c r="P428" s="1" t="s">
        <v>81</v>
      </c>
    </row>
    <row r="429" spans="1:16" x14ac:dyDescent="0.3">
      <c r="A429" s="1">
        <v>100869</v>
      </c>
      <c r="B429" s="2">
        <v>44931</v>
      </c>
      <c r="C429" s="1" t="s">
        <v>477</v>
      </c>
      <c r="D429" s="1" t="s">
        <v>39</v>
      </c>
      <c r="E429" s="1" t="s">
        <v>25</v>
      </c>
      <c r="F429" s="1" t="s">
        <v>1238</v>
      </c>
      <c r="G429" s="1" t="s">
        <v>48</v>
      </c>
      <c r="H429" s="1">
        <v>4</v>
      </c>
      <c r="I429" s="1">
        <f>Table1[[#This Row],[Units_Sold]]*Table1[[#This Row],[Unit_Price]]</f>
        <v>716.6</v>
      </c>
      <c r="J429" s="1">
        <v>179.15</v>
      </c>
      <c r="K429" s="1">
        <v>0</v>
      </c>
      <c r="L429" s="1">
        <v>716.6</v>
      </c>
      <c r="M429" s="1">
        <v>314.19</v>
      </c>
      <c r="N429" s="1">
        <v>25</v>
      </c>
      <c r="O429" s="1" t="s">
        <v>19</v>
      </c>
      <c r="P429" s="1" t="s">
        <v>32</v>
      </c>
    </row>
    <row r="430" spans="1:16" x14ac:dyDescent="0.3">
      <c r="A430" s="1">
        <v>100761</v>
      </c>
      <c r="B430" s="2">
        <v>45807</v>
      </c>
      <c r="C430" s="1" t="s">
        <v>478</v>
      </c>
      <c r="D430" s="1" t="s">
        <v>24</v>
      </c>
      <c r="E430" s="1" t="s">
        <v>25</v>
      </c>
      <c r="F430" s="1" t="s">
        <v>1239</v>
      </c>
      <c r="G430" s="1" t="s">
        <v>18</v>
      </c>
      <c r="H430" s="1">
        <v>3</v>
      </c>
      <c r="I430" s="1">
        <f>Table1[[#This Row],[Units_Sold]]*Table1[[#This Row],[Unit_Price]]</f>
        <v>321.93</v>
      </c>
      <c r="J430" s="1">
        <v>107.31</v>
      </c>
      <c r="K430" s="1">
        <v>0</v>
      </c>
      <c r="L430" s="1">
        <v>321.93</v>
      </c>
      <c r="M430" s="1">
        <v>90.73</v>
      </c>
      <c r="N430" s="1">
        <v>16</v>
      </c>
      <c r="O430" s="1" t="s">
        <v>26</v>
      </c>
      <c r="P430" s="1" t="s">
        <v>35</v>
      </c>
    </row>
    <row r="431" spans="1:16" x14ac:dyDescent="0.3">
      <c r="A431" s="1">
        <v>100029</v>
      </c>
      <c r="B431" s="2">
        <v>45356</v>
      </c>
      <c r="C431" s="1" t="s">
        <v>479</v>
      </c>
      <c r="D431" s="1" t="s">
        <v>77</v>
      </c>
      <c r="E431" s="1" t="s">
        <v>30</v>
      </c>
      <c r="F431" s="1" t="s">
        <v>1238</v>
      </c>
      <c r="G431" s="1" t="s">
        <v>18</v>
      </c>
      <c r="H431" s="1">
        <v>4</v>
      </c>
      <c r="I431" s="1">
        <f>Table1[[#This Row],[Units_Sold]]*Table1[[#This Row],[Unit_Price]]</f>
        <v>163.80000000000001</v>
      </c>
      <c r="J431" s="1">
        <v>40.950000000000003</v>
      </c>
      <c r="K431" s="1">
        <v>0</v>
      </c>
      <c r="L431" s="1">
        <v>163.80000000000001</v>
      </c>
      <c r="M431" s="1">
        <v>57.41</v>
      </c>
      <c r="N431" s="1">
        <v>24</v>
      </c>
      <c r="O431" s="1" t="s">
        <v>19</v>
      </c>
      <c r="P431" s="1" t="s">
        <v>43</v>
      </c>
    </row>
    <row r="432" spans="1:16" x14ac:dyDescent="0.3">
      <c r="A432" s="1">
        <v>100541</v>
      </c>
      <c r="B432" s="2">
        <v>45483</v>
      </c>
      <c r="C432" s="1" t="s">
        <v>480</v>
      </c>
      <c r="D432" s="1" t="s">
        <v>59</v>
      </c>
      <c r="E432" s="1" t="s">
        <v>17</v>
      </c>
      <c r="F432" s="1" t="s">
        <v>1238</v>
      </c>
      <c r="G432" s="1" t="s">
        <v>48</v>
      </c>
      <c r="H432" s="1">
        <v>3</v>
      </c>
      <c r="I432" s="1">
        <f>Table1[[#This Row],[Units_Sold]]*Table1[[#This Row],[Unit_Price]]</f>
        <v>86.31</v>
      </c>
      <c r="J432" s="1">
        <v>28.77</v>
      </c>
      <c r="K432" s="1">
        <v>5</v>
      </c>
      <c r="L432" s="1">
        <v>81.99</v>
      </c>
      <c r="M432" s="1">
        <v>22.73</v>
      </c>
      <c r="N432" s="1">
        <v>26</v>
      </c>
      <c r="O432" s="1" t="s">
        <v>19</v>
      </c>
      <c r="P432" s="1" t="s">
        <v>35</v>
      </c>
    </row>
    <row r="433" spans="1:16" x14ac:dyDescent="0.3">
      <c r="A433" s="1">
        <v>100165</v>
      </c>
      <c r="B433" s="2">
        <v>45879</v>
      </c>
      <c r="C433" s="1" t="s">
        <v>481</v>
      </c>
      <c r="D433" s="1" t="s">
        <v>39</v>
      </c>
      <c r="E433" s="1" t="s">
        <v>25</v>
      </c>
      <c r="F433" s="1" t="s">
        <v>1238</v>
      </c>
      <c r="G433" s="1" t="s">
        <v>18</v>
      </c>
      <c r="H433" s="1">
        <v>3</v>
      </c>
      <c r="I433" s="1">
        <f>Table1[[#This Row],[Units_Sold]]*Table1[[#This Row],[Unit_Price]]</f>
        <v>485.66999999999996</v>
      </c>
      <c r="J433" s="1">
        <v>161.88999999999999</v>
      </c>
      <c r="K433" s="1">
        <v>5</v>
      </c>
      <c r="L433" s="1">
        <v>461.39</v>
      </c>
      <c r="M433" s="1">
        <v>126.48</v>
      </c>
      <c r="N433" s="1">
        <v>31</v>
      </c>
      <c r="O433" s="1" t="s">
        <v>26</v>
      </c>
      <c r="P433" s="1" t="s">
        <v>27</v>
      </c>
    </row>
    <row r="434" spans="1:16" x14ac:dyDescent="0.3">
      <c r="A434" s="1">
        <v>100248</v>
      </c>
      <c r="B434" s="2">
        <v>45237</v>
      </c>
      <c r="C434" s="1" t="s">
        <v>482</v>
      </c>
      <c r="D434" s="1" t="s">
        <v>39</v>
      </c>
      <c r="E434" s="1" t="s">
        <v>25</v>
      </c>
      <c r="F434" s="1" t="s">
        <v>1241</v>
      </c>
      <c r="G434" s="1" t="s">
        <v>31</v>
      </c>
      <c r="H434" s="1">
        <v>2</v>
      </c>
      <c r="I434" s="1">
        <f>Table1[[#This Row],[Units_Sold]]*Table1[[#This Row],[Unit_Price]]</f>
        <v>400.04</v>
      </c>
      <c r="J434" s="1">
        <v>200.02</v>
      </c>
      <c r="K434" s="1">
        <v>20</v>
      </c>
      <c r="L434" s="1">
        <v>320.02999999999997</v>
      </c>
      <c r="M434" s="1">
        <v>104.93</v>
      </c>
      <c r="N434" s="1">
        <v>21</v>
      </c>
      <c r="O434" s="1" t="s">
        <v>19</v>
      </c>
      <c r="P434" s="1" t="s">
        <v>46</v>
      </c>
    </row>
    <row r="435" spans="1:16" x14ac:dyDescent="0.3">
      <c r="A435" s="1">
        <v>100307</v>
      </c>
      <c r="B435" s="2">
        <v>45568</v>
      </c>
      <c r="C435" s="1" t="s">
        <v>483</v>
      </c>
      <c r="D435" s="1" t="s">
        <v>29</v>
      </c>
      <c r="E435" s="1" t="s">
        <v>30</v>
      </c>
      <c r="F435" s="1" t="s">
        <v>1239</v>
      </c>
      <c r="G435" s="1" t="s">
        <v>18</v>
      </c>
      <c r="H435" s="1">
        <v>4</v>
      </c>
      <c r="I435" s="1">
        <f>Table1[[#This Row],[Units_Sold]]*Table1[[#This Row],[Unit_Price]]</f>
        <v>67.760000000000005</v>
      </c>
      <c r="J435" s="1">
        <v>16.940000000000001</v>
      </c>
      <c r="K435" s="1">
        <v>10</v>
      </c>
      <c r="L435" s="1">
        <v>60.98</v>
      </c>
      <c r="M435" s="1">
        <v>24.56</v>
      </c>
      <c r="N435" s="1">
        <v>34</v>
      </c>
      <c r="O435" s="1" t="s">
        <v>26</v>
      </c>
      <c r="P435" s="1" t="s">
        <v>32</v>
      </c>
    </row>
    <row r="436" spans="1:16" x14ac:dyDescent="0.3">
      <c r="A436" s="1">
        <v>100447</v>
      </c>
      <c r="B436" s="2">
        <v>45501</v>
      </c>
      <c r="C436" s="1" t="s">
        <v>484</v>
      </c>
      <c r="D436" s="1" t="s">
        <v>39</v>
      </c>
      <c r="E436" s="1" t="s">
        <v>25</v>
      </c>
      <c r="F436" s="1" t="s">
        <v>1238</v>
      </c>
      <c r="G436" s="1" t="s">
        <v>18</v>
      </c>
      <c r="H436" s="1">
        <v>2</v>
      </c>
      <c r="I436" s="1">
        <f>Table1[[#This Row],[Units_Sold]]*Table1[[#This Row],[Unit_Price]]</f>
        <v>362.24</v>
      </c>
      <c r="J436" s="1">
        <v>181.12</v>
      </c>
      <c r="K436" s="1">
        <v>10</v>
      </c>
      <c r="L436" s="1">
        <v>326.02</v>
      </c>
      <c r="M436" s="1">
        <v>122.48</v>
      </c>
      <c r="N436" s="1">
        <v>25</v>
      </c>
      <c r="O436" s="1" t="s">
        <v>19</v>
      </c>
      <c r="P436" s="1" t="s">
        <v>51</v>
      </c>
    </row>
    <row r="437" spans="1:16" x14ac:dyDescent="0.3">
      <c r="A437" s="1">
        <v>100346</v>
      </c>
      <c r="B437" s="2">
        <v>45589</v>
      </c>
      <c r="C437" s="1" t="s">
        <v>485</v>
      </c>
      <c r="D437" s="1" t="s">
        <v>16</v>
      </c>
      <c r="E437" s="1" t="s">
        <v>17</v>
      </c>
      <c r="F437" s="1" t="s">
        <v>1239</v>
      </c>
      <c r="G437" s="1" t="s">
        <v>31</v>
      </c>
      <c r="H437" s="1">
        <v>4</v>
      </c>
      <c r="I437" s="1">
        <f>Table1[[#This Row],[Units_Sold]]*Table1[[#This Row],[Unit_Price]]</f>
        <v>222.96</v>
      </c>
      <c r="J437" s="1">
        <v>55.74</v>
      </c>
      <c r="K437" s="1">
        <v>5</v>
      </c>
      <c r="L437" s="1">
        <v>211.81</v>
      </c>
      <c r="M437" s="1">
        <v>64.92</v>
      </c>
      <c r="N437" s="1">
        <v>35</v>
      </c>
      <c r="O437" s="1" t="s">
        <v>26</v>
      </c>
      <c r="P437" s="1" t="s">
        <v>32</v>
      </c>
    </row>
    <row r="438" spans="1:16" x14ac:dyDescent="0.3">
      <c r="A438" s="1">
        <v>100334</v>
      </c>
      <c r="B438" s="2">
        <v>45911</v>
      </c>
      <c r="C438" s="1" t="s">
        <v>486</v>
      </c>
      <c r="D438" s="1" t="s">
        <v>70</v>
      </c>
      <c r="E438" s="1" t="s">
        <v>25</v>
      </c>
      <c r="F438" s="1" t="s">
        <v>1241</v>
      </c>
      <c r="G438" s="1" t="s">
        <v>18</v>
      </c>
      <c r="H438" s="1">
        <v>1</v>
      </c>
      <c r="I438" s="1">
        <f>Table1[[#This Row],[Units_Sold]]*Table1[[#This Row],[Unit_Price]]</f>
        <v>150.91</v>
      </c>
      <c r="J438" s="1">
        <v>150.91</v>
      </c>
      <c r="K438" s="1">
        <v>0</v>
      </c>
      <c r="L438" s="1">
        <v>150.91</v>
      </c>
      <c r="M438" s="1">
        <v>33.19</v>
      </c>
      <c r="N438" s="1">
        <v>27</v>
      </c>
      <c r="O438" s="1" t="s">
        <v>26</v>
      </c>
      <c r="P438" s="1" t="s">
        <v>51</v>
      </c>
    </row>
    <row r="439" spans="1:16" x14ac:dyDescent="0.3">
      <c r="A439" s="1">
        <v>100285</v>
      </c>
      <c r="B439" s="2">
        <v>45234</v>
      </c>
      <c r="C439" s="1" t="s">
        <v>487</v>
      </c>
      <c r="D439" s="1" t="s">
        <v>70</v>
      </c>
      <c r="E439" s="1" t="s">
        <v>25</v>
      </c>
      <c r="F439" s="1" t="s">
        <v>1241</v>
      </c>
      <c r="G439" s="1" t="s">
        <v>48</v>
      </c>
      <c r="H439" s="1">
        <v>3</v>
      </c>
      <c r="I439" s="1">
        <f>Table1[[#This Row],[Units_Sold]]*Table1[[#This Row],[Unit_Price]]</f>
        <v>471.33000000000004</v>
      </c>
      <c r="J439" s="1">
        <v>157.11000000000001</v>
      </c>
      <c r="K439" s="1">
        <v>0</v>
      </c>
      <c r="L439" s="1">
        <v>471.33</v>
      </c>
      <c r="M439" s="1">
        <v>167.7</v>
      </c>
      <c r="N439" s="1">
        <v>24</v>
      </c>
      <c r="O439" s="1" t="s">
        <v>19</v>
      </c>
      <c r="P439" s="1" t="s">
        <v>35</v>
      </c>
    </row>
    <row r="440" spans="1:16" x14ac:dyDescent="0.3">
      <c r="A440" s="1">
        <v>100949</v>
      </c>
      <c r="B440" s="2">
        <v>45363</v>
      </c>
      <c r="C440" s="1" t="s">
        <v>488</v>
      </c>
      <c r="D440" s="1" t="s">
        <v>29</v>
      </c>
      <c r="E440" s="1" t="s">
        <v>30</v>
      </c>
      <c r="F440" s="1" t="s">
        <v>1237</v>
      </c>
      <c r="G440" s="1" t="s">
        <v>18</v>
      </c>
      <c r="H440" s="1">
        <v>2</v>
      </c>
      <c r="I440" s="1">
        <f>Table1[[#This Row],[Units_Sold]]*Table1[[#This Row],[Unit_Price]]</f>
        <v>36</v>
      </c>
      <c r="J440" s="1">
        <v>18</v>
      </c>
      <c r="K440" s="1">
        <v>5</v>
      </c>
      <c r="L440" s="1">
        <v>34.200000000000003</v>
      </c>
      <c r="M440" s="1">
        <v>10.24</v>
      </c>
      <c r="N440" s="1">
        <v>16</v>
      </c>
      <c r="O440" s="1" t="s">
        <v>26</v>
      </c>
      <c r="P440" s="1" t="s">
        <v>51</v>
      </c>
    </row>
    <row r="441" spans="1:16" x14ac:dyDescent="0.3">
      <c r="A441" s="1">
        <v>100097</v>
      </c>
      <c r="B441" s="2">
        <v>45512</v>
      </c>
      <c r="C441" s="1" t="s">
        <v>489</v>
      </c>
      <c r="D441" s="1" t="s">
        <v>62</v>
      </c>
      <c r="E441" s="1" t="s">
        <v>17</v>
      </c>
      <c r="F441" s="1" t="s">
        <v>1237</v>
      </c>
      <c r="G441" s="1" t="s">
        <v>18</v>
      </c>
      <c r="H441" s="1">
        <v>3</v>
      </c>
      <c r="I441" s="1">
        <f>Table1[[#This Row],[Units_Sold]]*Table1[[#This Row],[Unit_Price]]</f>
        <v>373.53000000000003</v>
      </c>
      <c r="J441" s="1">
        <v>124.51</v>
      </c>
      <c r="K441" s="1">
        <v>20</v>
      </c>
      <c r="L441" s="1">
        <v>298.82</v>
      </c>
      <c r="M441" s="1">
        <v>84.17</v>
      </c>
      <c r="N441" s="1">
        <v>31</v>
      </c>
      <c r="O441" s="1" t="s">
        <v>19</v>
      </c>
      <c r="P441" s="1" t="s">
        <v>32</v>
      </c>
    </row>
    <row r="442" spans="1:16" x14ac:dyDescent="0.3">
      <c r="A442" s="1">
        <v>100467</v>
      </c>
      <c r="B442" s="2">
        <v>45440</v>
      </c>
      <c r="C442" s="1" t="s">
        <v>490</v>
      </c>
      <c r="D442" s="1" t="s">
        <v>56</v>
      </c>
      <c r="E442" s="1" t="s">
        <v>30</v>
      </c>
      <c r="F442" s="1" t="s">
        <v>1238</v>
      </c>
      <c r="G442" s="1" t="s">
        <v>18</v>
      </c>
      <c r="H442" s="1">
        <v>1</v>
      </c>
      <c r="I442" s="1">
        <f>Table1[[#This Row],[Units_Sold]]*Table1[[#This Row],[Unit_Price]]</f>
        <v>44.94</v>
      </c>
      <c r="J442" s="1">
        <v>44.94</v>
      </c>
      <c r="K442" s="1">
        <v>10</v>
      </c>
      <c r="L442" s="1">
        <v>40.450000000000003</v>
      </c>
      <c r="M442" s="1">
        <v>11.95</v>
      </c>
      <c r="N442" s="1">
        <v>41</v>
      </c>
      <c r="O442" s="1" t="s">
        <v>26</v>
      </c>
      <c r="P442" s="1" t="s">
        <v>35</v>
      </c>
    </row>
    <row r="443" spans="1:16" x14ac:dyDescent="0.3">
      <c r="A443" s="1">
        <v>101036</v>
      </c>
      <c r="B443" s="2">
        <v>45417</v>
      </c>
      <c r="C443" s="1" t="s">
        <v>491</v>
      </c>
      <c r="D443" s="1" t="s">
        <v>70</v>
      </c>
      <c r="E443" s="1" t="s">
        <v>25</v>
      </c>
      <c r="F443" s="1" t="s">
        <v>1237</v>
      </c>
      <c r="G443" s="1" t="s">
        <v>18</v>
      </c>
      <c r="H443" s="1">
        <v>5</v>
      </c>
      <c r="I443" s="1">
        <f>Table1[[#This Row],[Units_Sold]]*Table1[[#This Row],[Unit_Price]]</f>
        <v>828.94999999999993</v>
      </c>
      <c r="J443" s="1">
        <v>165.79</v>
      </c>
      <c r="K443" s="1">
        <v>0</v>
      </c>
      <c r="L443" s="1">
        <v>828.95</v>
      </c>
      <c r="M443" s="1">
        <v>257.41000000000003</v>
      </c>
      <c r="N443" s="1">
        <v>29</v>
      </c>
      <c r="O443" s="1" t="s">
        <v>26</v>
      </c>
      <c r="P443" s="1" t="s">
        <v>20</v>
      </c>
    </row>
    <row r="444" spans="1:16" x14ac:dyDescent="0.3">
      <c r="A444" s="1">
        <v>100912</v>
      </c>
      <c r="B444" s="2">
        <v>45813</v>
      </c>
      <c r="C444" s="1" t="s">
        <v>492</v>
      </c>
      <c r="D444" s="1" t="s">
        <v>62</v>
      </c>
      <c r="E444" s="1" t="s">
        <v>17</v>
      </c>
      <c r="F444" s="1" t="s">
        <v>1237</v>
      </c>
      <c r="G444" s="1" t="s">
        <v>18</v>
      </c>
      <c r="H444" s="1">
        <v>2</v>
      </c>
      <c r="I444" s="1">
        <f>Table1[[#This Row],[Units_Sold]]*Table1[[#This Row],[Unit_Price]]</f>
        <v>299.45999999999998</v>
      </c>
      <c r="J444" s="1">
        <v>149.72999999999999</v>
      </c>
      <c r="K444" s="1">
        <v>20</v>
      </c>
      <c r="L444" s="1">
        <v>239.57</v>
      </c>
      <c r="M444" s="1">
        <v>42.88</v>
      </c>
      <c r="N444" s="1">
        <v>34</v>
      </c>
      <c r="O444" s="1" t="s">
        <v>26</v>
      </c>
      <c r="P444" s="1" t="s">
        <v>46</v>
      </c>
    </row>
    <row r="445" spans="1:16" x14ac:dyDescent="0.3">
      <c r="A445" s="1">
        <v>100755</v>
      </c>
      <c r="B445" s="2">
        <v>45441</v>
      </c>
      <c r="C445" s="1" t="s">
        <v>493</v>
      </c>
      <c r="D445" s="1" t="s">
        <v>66</v>
      </c>
      <c r="E445" s="1" t="s">
        <v>17</v>
      </c>
      <c r="F445" s="1" t="s">
        <v>1241</v>
      </c>
      <c r="G445" s="1" t="s">
        <v>64</v>
      </c>
      <c r="H445" s="1">
        <v>3</v>
      </c>
      <c r="I445" s="1">
        <f>Table1[[#This Row],[Units_Sold]]*Table1[[#This Row],[Unit_Price]]</f>
        <v>421.89</v>
      </c>
      <c r="J445" s="1">
        <v>140.63</v>
      </c>
      <c r="K445" s="1">
        <v>20</v>
      </c>
      <c r="L445" s="1">
        <v>337.51</v>
      </c>
      <c r="M445" s="1">
        <v>104.97</v>
      </c>
      <c r="N445" s="1">
        <v>28</v>
      </c>
      <c r="O445" s="1" t="s">
        <v>26</v>
      </c>
      <c r="P445" s="1" t="s">
        <v>27</v>
      </c>
    </row>
    <row r="446" spans="1:16" x14ac:dyDescent="0.3">
      <c r="A446" s="1">
        <v>100944</v>
      </c>
      <c r="B446" s="2">
        <v>45311</v>
      </c>
      <c r="C446" s="1" t="s">
        <v>494</v>
      </c>
      <c r="D446" s="1" t="s">
        <v>73</v>
      </c>
      <c r="E446" s="1" t="s">
        <v>25</v>
      </c>
      <c r="F446" s="1" t="s">
        <v>1241</v>
      </c>
      <c r="G446" s="1" t="s">
        <v>31</v>
      </c>
      <c r="H446" s="1">
        <v>3</v>
      </c>
      <c r="I446" s="1">
        <f>Table1[[#This Row],[Units_Sold]]*Table1[[#This Row],[Unit_Price]]</f>
        <v>112.71000000000001</v>
      </c>
      <c r="J446" s="1">
        <v>37.57</v>
      </c>
      <c r="K446" s="1">
        <v>0</v>
      </c>
      <c r="L446" s="1">
        <v>112.71</v>
      </c>
      <c r="M446" s="1">
        <v>45.41</v>
      </c>
      <c r="N446" s="1">
        <v>28</v>
      </c>
      <c r="O446" s="1" t="s">
        <v>122</v>
      </c>
      <c r="P446" s="1" t="s">
        <v>46</v>
      </c>
    </row>
    <row r="447" spans="1:16" x14ac:dyDescent="0.3">
      <c r="A447" s="1">
        <v>100613</v>
      </c>
      <c r="B447" s="2">
        <v>45445</v>
      </c>
      <c r="C447" s="1" t="s">
        <v>495</v>
      </c>
      <c r="D447" s="1" t="s">
        <v>39</v>
      </c>
      <c r="E447" s="1" t="s">
        <v>25</v>
      </c>
      <c r="F447" s="1" t="s">
        <v>1239</v>
      </c>
      <c r="G447" s="1" t="s">
        <v>18</v>
      </c>
      <c r="H447" s="1">
        <v>1</v>
      </c>
      <c r="I447" s="1">
        <f>Table1[[#This Row],[Units_Sold]]*Table1[[#This Row],[Unit_Price]]</f>
        <v>169.09</v>
      </c>
      <c r="J447" s="1">
        <v>169.09</v>
      </c>
      <c r="K447" s="1">
        <v>0</v>
      </c>
      <c r="L447" s="1">
        <v>169.09</v>
      </c>
      <c r="M447" s="1">
        <v>60.62</v>
      </c>
      <c r="N447" s="1">
        <v>31</v>
      </c>
      <c r="O447" s="1" t="s">
        <v>26</v>
      </c>
      <c r="P447" s="1" t="s">
        <v>46</v>
      </c>
    </row>
    <row r="448" spans="1:16" x14ac:dyDescent="0.3">
      <c r="A448" s="1">
        <v>100801</v>
      </c>
      <c r="B448" s="2">
        <v>45725</v>
      </c>
      <c r="C448" s="1" t="s">
        <v>496</v>
      </c>
      <c r="D448" s="1" t="s">
        <v>62</v>
      </c>
      <c r="E448" s="1" t="s">
        <v>17</v>
      </c>
      <c r="F448" s="1" t="s">
        <v>1237</v>
      </c>
      <c r="G448" s="1" t="s">
        <v>31</v>
      </c>
      <c r="H448" s="1">
        <v>4</v>
      </c>
      <c r="I448" s="1">
        <f>Table1[[#This Row],[Units_Sold]]*Table1[[#This Row],[Unit_Price]]</f>
        <v>464.84</v>
      </c>
      <c r="J448" s="1">
        <v>116.21</v>
      </c>
      <c r="K448" s="1">
        <v>5</v>
      </c>
      <c r="L448" s="1">
        <v>441.6</v>
      </c>
      <c r="M448" s="1">
        <v>143.78</v>
      </c>
      <c r="N448" s="1">
        <v>42</v>
      </c>
      <c r="O448" s="1" t="s">
        <v>26</v>
      </c>
      <c r="P448" s="1" t="s">
        <v>46</v>
      </c>
    </row>
    <row r="449" spans="1:16" x14ac:dyDescent="0.3">
      <c r="A449" s="1">
        <v>100757</v>
      </c>
      <c r="B449" s="2">
        <v>45206</v>
      </c>
      <c r="C449" s="1" t="s">
        <v>497</v>
      </c>
      <c r="D449" s="1" t="s">
        <v>24</v>
      </c>
      <c r="E449" s="1" t="s">
        <v>25</v>
      </c>
      <c r="F449" s="1" t="s">
        <v>1238</v>
      </c>
      <c r="G449" s="1" t="s">
        <v>18</v>
      </c>
      <c r="H449" s="1">
        <v>3</v>
      </c>
      <c r="I449" s="1">
        <f>Table1[[#This Row],[Units_Sold]]*Table1[[#This Row],[Unit_Price]]</f>
        <v>275.54999999999995</v>
      </c>
      <c r="J449" s="1">
        <v>91.85</v>
      </c>
      <c r="K449" s="1">
        <v>0</v>
      </c>
      <c r="L449" s="1">
        <v>275.55</v>
      </c>
      <c r="M449" s="1">
        <v>101.54</v>
      </c>
      <c r="N449" s="1">
        <v>16</v>
      </c>
      <c r="O449" s="1" t="s">
        <v>26</v>
      </c>
      <c r="P449" s="1" t="s">
        <v>27</v>
      </c>
    </row>
    <row r="450" spans="1:16" x14ac:dyDescent="0.3">
      <c r="A450" s="1">
        <v>100688</v>
      </c>
      <c r="B450" s="2">
        <v>45809</v>
      </c>
      <c r="C450" s="1" t="s">
        <v>498</v>
      </c>
      <c r="D450" s="1" t="s">
        <v>73</v>
      </c>
      <c r="E450" s="1" t="s">
        <v>25</v>
      </c>
      <c r="F450" s="1" t="s">
        <v>1239</v>
      </c>
      <c r="G450" s="1" t="s">
        <v>18</v>
      </c>
      <c r="H450" s="1">
        <v>3</v>
      </c>
      <c r="I450" s="1">
        <f>Table1[[#This Row],[Units_Sold]]*Table1[[#This Row],[Unit_Price]]</f>
        <v>96.78</v>
      </c>
      <c r="J450" s="1">
        <v>32.26</v>
      </c>
      <c r="K450" s="1">
        <v>0</v>
      </c>
      <c r="L450" s="1">
        <v>96.78</v>
      </c>
      <c r="M450" s="1">
        <v>35.840000000000003</v>
      </c>
      <c r="N450" s="1">
        <v>37</v>
      </c>
      <c r="O450" s="1" t="s">
        <v>19</v>
      </c>
      <c r="P450" s="1" t="s">
        <v>51</v>
      </c>
    </row>
    <row r="451" spans="1:16" x14ac:dyDescent="0.3">
      <c r="A451" s="1">
        <v>100065</v>
      </c>
      <c r="B451" s="2">
        <v>45533</v>
      </c>
      <c r="C451" s="1" t="s">
        <v>499</v>
      </c>
      <c r="D451" s="1" t="s">
        <v>37</v>
      </c>
      <c r="E451" s="1" t="s">
        <v>17</v>
      </c>
      <c r="F451" s="1" t="s">
        <v>1237</v>
      </c>
      <c r="G451" s="1" t="s">
        <v>48</v>
      </c>
      <c r="H451" s="1">
        <v>5</v>
      </c>
      <c r="I451" s="1">
        <f>Table1[[#This Row],[Units_Sold]]*Table1[[#This Row],[Unit_Price]]</f>
        <v>336.65</v>
      </c>
      <c r="J451" s="1">
        <v>67.33</v>
      </c>
      <c r="K451" s="1">
        <v>10</v>
      </c>
      <c r="L451" s="1">
        <v>302.99</v>
      </c>
      <c r="M451" s="1">
        <v>90.49</v>
      </c>
      <c r="N451" s="1">
        <v>41</v>
      </c>
      <c r="O451" s="1" t="s">
        <v>19</v>
      </c>
      <c r="P451" s="1" t="s">
        <v>27</v>
      </c>
    </row>
    <row r="452" spans="1:16" x14ac:dyDescent="0.3">
      <c r="A452" s="1">
        <v>100793</v>
      </c>
      <c r="B452" s="2">
        <v>45162</v>
      </c>
      <c r="C452" s="1" t="s">
        <v>500</v>
      </c>
      <c r="D452" s="1" t="s">
        <v>42</v>
      </c>
      <c r="E452" s="1" t="s">
        <v>25</v>
      </c>
      <c r="F452" s="1" t="s">
        <v>1241</v>
      </c>
      <c r="G452" s="1" t="s">
        <v>31</v>
      </c>
      <c r="H452" s="1">
        <v>2</v>
      </c>
      <c r="I452" s="1">
        <f>Table1[[#This Row],[Units_Sold]]*Table1[[#This Row],[Unit_Price]]</f>
        <v>332.92</v>
      </c>
      <c r="J452" s="1">
        <v>166.46</v>
      </c>
      <c r="K452" s="1">
        <v>10</v>
      </c>
      <c r="L452" s="1">
        <v>299.63</v>
      </c>
      <c r="M452" s="1">
        <v>111.39</v>
      </c>
      <c r="N452" s="1">
        <v>27</v>
      </c>
      <c r="O452" s="1" t="s">
        <v>26</v>
      </c>
      <c r="P452" s="1" t="s">
        <v>46</v>
      </c>
    </row>
    <row r="453" spans="1:16" x14ac:dyDescent="0.3">
      <c r="A453" s="1">
        <v>100743</v>
      </c>
      <c r="B453" s="2">
        <v>45423</v>
      </c>
      <c r="C453" s="1" t="s">
        <v>501</v>
      </c>
      <c r="D453" s="1" t="s">
        <v>56</v>
      </c>
      <c r="E453" s="1" t="s">
        <v>30</v>
      </c>
      <c r="F453" s="1" t="s">
        <v>1237</v>
      </c>
      <c r="G453" s="1" t="s">
        <v>18</v>
      </c>
      <c r="H453" s="1">
        <v>4</v>
      </c>
      <c r="I453" s="1">
        <f>Table1[[#This Row],[Units_Sold]]*Table1[[#This Row],[Unit_Price]]</f>
        <v>201.72</v>
      </c>
      <c r="J453" s="1">
        <v>50.43</v>
      </c>
      <c r="K453" s="1">
        <v>40</v>
      </c>
      <c r="L453" s="1">
        <v>121.03</v>
      </c>
      <c r="M453" s="1">
        <v>27.97</v>
      </c>
      <c r="N453" s="1">
        <v>30</v>
      </c>
      <c r="O453" s="1" t="s">
        <v>26</v>
      </c>
      <c r="P453" s="1" t="s">
        <v>46</v>
      </c>
    </row>
    <row r="454" spans="1:16" x14ac:dyDescent="0.3">
      <c r="A454" s="1">
        <v>100567</v>
      </c>
      <c r="B454" s="2">
        <v>45684</v>
      </c>
      <c r="C454" s="1" t="s">
        <v>502</v>
      </c>
      <c r="D454" s="1" t="s">
        <v>70</v>
      </c>
      <c r="E454" s="1" t="s">
        <v>25</v>
      </c>
      <c r="F454" s="1" t="s">
        <v>1237</v>
      </c>
      <c r="G454" s="1" t="s">
        <v>18</v>
      </c>
      <c r="H454" s="1">
        <v>3</v>
      </c>
      <c r="I454" s="1">
        <f>Table1[[#This Row],[Units_Sold]]*Table1[[#This Row],[Unit_Price]]</f>
        <v>451.91999999999996</v>
      </c>
      <c r="J454" s="1">
        <v>150.63999999999999</v>
      </c>
      <c r="K454" s="1">
        <v>20</v>
      </c>
      <c r="L454" s="1">
        <v>361.54</v>
      </c>
      <c r="M454" s="1">
        <v>91.06</v>
      </c>
      <c r="N454" s="1">
        <v>28</v>
      </c>
      <c r="O454" s="1" t="s">
        <v>19</v>
      </c>
      <c r="P454" s="1" t="s">
        <v>20</v>
      </c>
    </row>
    <row r="455" spans="1:16" x14ac:dyDescent="0.3">
      <c r="A455" s="1">
        <v>101083</v>
      </c>
      <c r="B455" s="2">
        <v>45014</v>
      </c>
      <c r="C455" s="1" t="s">
        <v>503</v>
      </c>
      <c r="D455" s="1" t="s">
        <v>77</v>
      </c>
      <c r="E455" s="1" t="s">
        <v>30</v>
      </c>
      <c r="F455" s="1" t="s">
        <v>1237</v>
      </c>
      <c r="G455" s="1" t="s">
        <v>31</v>
      </c>
      <c r="H455" s="1">
        <v>4</v>
      </c>
      <c r="I455" s="1">
        <f>Table1[[#This Row],[Units_Sold]]*Table1[[#This Row],[Unit_Price]]</f>
        <v>155.44</v>
      </c>
      <c r="J455" s="1">
        <v>38.86</v>
      </c>
      <c r="K455" s="1">
        <v>0</v>
      </c>
      <c r="L455" s="1">
        <v>155.44</v>
      </c>
      <c r="M455" s="1">
        <v>56.27</v>
      </c>
      <c r="N455" s="1">
        <v>46</v>
      </c>
      <c r="O455" s="1" t="s">
        <v>26</v>
      </c>
      <c r="P455" s="1" t="s">
        <v>43</v>
      </c>
    </row>
    <row r="456" spans="1:16" x14ac:dyDescent="0.3">
      <c r="A456" s="1">
        <v>101098</v>
      </c>
      <c r="B456" s="2">
        <v>45392</v>
      </c>
      <c r="C456" s="1" t="s">
        <v>504</v>
      </c>
      <c r="D456" s="1" t="s">
        <v>70</v>
      </c>
      <c r="E456" s="1" t="s">
        <v>25</v>
      </c>
      <c r="F456" s="1" t="s">
        <v>1240</v>
      </c>
      <c r="G456" s="1" t="s">
        <v>18</v>
      </c>
      <c r="H456" s="1">
        <v>3</v>
      </c>
      <c r="I456" s="1">
        <f>Table1[[#This Row],[Units_Sold]]*Table1[[#This Row],[Unit_Price]]</f>
        <v>439.16999999999996</v>
      </c>
      <c r="J456" s="1">
        <v>146.38999999999999</v>
      </c>
      <c r="K456" s="1">
        <v>0</v>
      </c>
      <c r="L456" s="1">
        <v>439.17</v>
      </c>
      <c r="M456" s="1">
        <v>117.89</v>
      </c>
      <c r="N456" s="1">
        <v>18</v>
      </c>
      <c r="O456" s="1" t="s">
        <v>26</v>
      </c>
      <c r="P456" s="1" t="s">
        <v>81</v>
      </c>
    </row>
    <row r="457" spans="1:16" x14ac:dyDescent="0.3">
      <c r="A457" s="1">
        <v>100302</v>
      </c>
      <c r="B457" s="2">
        <v>45655</v>
      </c>
      <c r="C457" s="1" t="s">
        <v>505</v>
      </c>
      <c r="D457" s="1" t="s">
        <v>66</v>
      </c>
      <c r="E457" s="1" t="s">
        <v>17</v>
      </c>
      <c r="F457" s="1" t="s">
        <v>1237</v>
      </c>
      <c r="G457" s="1" t="s">
        <v>31</v>
      </c>
      <c r="H457" s="1">
        <v>2</v>
      </c>
      <c r="I457" s="1">
        <f>Table1[[#This Row],[Units_Sold]]*Table1[[#This Row],[Unit_Price]]</f>
        <v>238.42</v>
      </c>
      <c r="J457" s="1">
        <v>119.21</v>
      </c>
      <c r="K457" s="1">
        <v>0</v>
      </c>
      <c r="L457" s="1">
        <v>238.42</v>
      </c>
      <c r="M457" s="1">
        <v>54.9</v>
      </c>
      <c r="N457" s="1">
        <v>26</v>
      </c>
      <c r="O457" s="1" t="s">
        <v>26</v>
      </c>
      <c r="P457" s="1" t="s">
        <v>20</v>
      </c>
    </row>
    <row r="458" spans="1:16" x14ac:dyDescent="0.3">
      <c r="A458" s="1">
        <v>100254</v>
      </c>
      <c r="B458" s="2">
        <v>45463</v>
      </c>
      <c r="C458" s="1" t="s">
        <v>506</v>
      </c>
      <c r="D458" s="1" t="s">
        <v>70</v>
      </c>
      <c r="E458" s="1" t="s">
        <v>25</v>
      </c>
      <c r="F458" s="1" t="s">
        <v>1241</v>
      </c>
      <c r="G458" s="1" t="s">
        <v>48</v>
      </c>
      <c r="H458" s="1">
        <v>5</v>
      </c>
      <c r="I458" s="1">
        <f>Table1[[#This Row],[Units_Sold]]*Table1[[#This Row],[Unit_Price]]</f>
        <v>726.7</v>
      </c>
      <c r="J458" s="1">
        <v>145.34</v>
      </c>
      <c r="K458" s="1">
        <v>0</v>
      </c>
      <c r="L458" s="1">
        <v>726.7</v>
      </c>
      <c r="M458" s="1">
        <v>224.2</v>
      </c>
      <c r="N458" s="1">
        <v>33</v>
      </c>
      <c r="O458" s="1" t="s">
        <v>26</v>
      </c>
      <c r="P458" s="1" t="s">
        <v>81</v>
      </c>
    </row>
    <row r="459" spans="1:16" x14ac:dyDescent="0.3">
      <c r="A459" s="1">
        <v>100958</v>
      </c>
      <c r="B459" s="2">
        <v>45870</v>
      </c>
      <c r="C459" s="1" t="s">
        <v>507</v>
      </c>
      <c r="D459" s="1" t="s">
        <v>59</v>
      </c>
      <c r="E459" s="1" t="s">
        <v>17</v>
      </c>
      <c r="F459" s="1" t="s">
        <v>1237</v>
      </c>
      <c r="G459" s="1" t="s">
        <v>31</v>
      </c>
      <c r="H459" s="1">
        <v>4</v>
      </c>
      <c r="I459" s="1">
        <f>Table1[[#This Row],[Units_Sold]]*Table1[[#This Row],[Unit_Price]]</f>
        <v>118.72</v>
      </c>
      <c r="J459" s="1">
        <v>29.68</v>
      </c>
      <c r="K459" s="1">
        <v>0</v>
      </c>
      <c r="L459" s="1">
        <v>118.72</v>
      </c>
      <c r="M459" s="1">
        <v>36.94</v>
      </c>
      <c r="N459" s="1">
        <v>18</v>
      </c>
      <c r="O459" s="1" t="s">
        <v>19</v>
      </c>
      <c r="P459" s="1" t="s">
        <v>20</v>
      </c>
    </row>
    <row r="460" spans="1:16" x14ac:dyDescent="0.3">
      <c r="A460" s="1">
        <v>101023</v>
      </c>
      <c r="B460" s="2">
        <v>45884</v>
      </c>
      <c r="C460" s="1" t="s">
        <v>508</v>
      </c>
      <c r="D460" s="1" t="s">
        <v>29</v>
      </c>
      <c r="E460" s="1" t="s">
        <v>30</v>
      </c>
      <c r="F460" s="1" t="s">
        <v>1239</v>
      </c>
      <c r="G460" s="1" t="s">
        <v>18</v>
      </c>
      <c r="H460" s="1">
        <v>4</v>
      </c>
      <c r="I460" s="1">
        <f>Table1[[#This Row],[Units_Sold]]*Table1[[#This Row],[Unit_Price]]</f>
        <v>70.84</v>
      </c>
      <c r="J460" s="1">
        <v>17.71</v>
      </c>
      <c r="K460" s="1">
        <v>0</v>
      </c>
      <c r="L460" s="1">
        <v>70.84</v>
      </c>
      <c r="M460" s="1">
        <v>13.62</v>
      </c>
      <c r="N460" s="1">
        <v>29</v>
      </c>
      <c r="O460" s="1" t="s">
        <v>26</v>
      </c>
      <c r="P460" s="1" t="s">
        <v>46</v>
      </c>
    </row>
    <row r="461" spans="1:16" x14ac:dyDescent="0.3">
      <c r="A461" s="1">
        <v>100312</v>
      </c>
      <c r="B461" s="2">
        <v>45032</v>
      </c>
      <c r="C461" s="1" t="s">
        <v>509</v>
      </c>
      <c r="D461" s="1" t="s">
        <v>66</v>
      </c>
      <c r="E461" s="1" t="s">
        <v>17</v>
      </c>
      <c r="F461" s="1" t="s">
        <v>1241</v>
      </c>
      <c r="G461" s="1" t="s">
        <v>18</v>
      </c>
      <c r="H461" s="1">
        <v>6</v>
      </c>
      <c r="I461" s="1">
        <f>Table1[[#This Row],[Units_Sold]]*Table1[[#This Row],[Unit_Price]]</f>
        <v>721.38</v>
      </c>
      <c r="J461" s="1">
        <v>120.23</v>
      </c>
      <c r="K461" s="1">
        <v>5</v>
      </c>
      <c r="L461" s="1">
        <v>685.31</v>
      </c>
      <c r="M461" s="1">
        <v>249.96</v>
      </c>
      <c r="N461" s="1">
        <v>28</v>
      </c>
      <c r="O461" s="1" t="s">
        <v>19</v>
      </c>
      <c r="P461" s="1" t="s">
        <v>35</v>
      </c>
    </row>
    <row r="462" spans="1:16" x14ac:dyDescent="0.3">
      <c r="A462" s="1">
        <v>100529</v>
      </c>
      <c r="B462" s="2">
        <v>45119</v>
      </c>
      <c r="C462" s="1" t="s">
        <v>510</v>
      </c>
      <c r="D462" s="1" t="s">
        <v>66</v>
      </c>
      <c r="E462" s="1" t="s">
        <v>17</v>
      </c>
      <c r="F462" s="1" t="s">
        <v>1241</v>
      </c>
      <c r="G462" s="1" t="s">
        <v>31</v>
      </c>
      <c r="H462" s="1">
        <v>2</v>
      </c>
      <c r="I462" s="1">
        <f>Table1[[#This Row],[Units_Sold]]*Table1[[#This Row],[Unit_Price]]</f>
        <v>202.28</v>
      </c>
      <c r="J462" s="1">
        <v>101.14</v>
      </c>
      <c r="K462" s="1">
        <v>10</v>
      </c>
      <c r="L462" s="1">
        <v>182.05</v>
      </c>
      <c r="M462" s="1">
        <v>53.84</v>
      </c>
      <c r="N462" s="1">
        <v>19</v>
      </c>
      <c r="O462" s="1" t="s">
        <v>26</v>
      </c>
      <c r="P462" s="1" t="s">
        <v>27</v>
      </c>
    </row>
    <row r="463" spans="1:16" x14ac:dyDescent="0.3">
      <c r="A463" s="1">
        <v>100221</v>
      </c>
      <c r="B463" s="2">
        <v>45886</v>
      </c>
      <c r="C463" s="1" t="s">
        <v>511</v>
      </c>
      <c r="D463" s="1" t="s">
        <v>16</v>
      </c>
      <c r="E463" s="1" t="s">
        <v>17</v>
      </c>
      <c r="F463" s="1" t="s">
        <v>1241</v>
      </c>
      <c r="G463" s="1" t="s">
        <v>31</v>
      </c>
      <c r="H463" s="1">
        <v>7</v>
      </c>
      <c r="I463" s="1">
        <f>Table1[[#This Row],[Units_Sold]]*Table1[[#This Row],[Unit_Price]]</f>
        <v>328.78999999999996</v>
      </c>
      <c r="J463" s="1">
        <v>46.97</v>
      </c>
      <c r="K463" s="1">
        <v>0</v>
      </c>
      <c r="L463" s="1">
        <v>328.79</v>
      </c>
      <c r="M463" s="1">
        <v>107.03</v>
      </c>
      <c r="N463" s="1">
        <v>32</v>
      </c>
      <c r="O463" s="1" t="s">
        <v>26</v>
      </c>
      <c r="P463" s="1" t="s">
        <v>43</v>
      </c>
    </row>
    <row r="464" spans="1:16" x14ac:dyDescent="0.3">
      <c r="A464" s="1">
        <v>100388</v>
      </c>
      <c r="B464" s="2">
        <v>45589</v>
      </c>
      <c r="C464" s="1" t="s">
        <v>512</v>
      </c>
      <c r="D464" s="1" t="s">
        <v>42</v>
      </c>
      <c r="E464" s="1" t="s">
        <v>25</v>
      </c>
      <c r="F464" s="1" t="s">
        <v>1241</v>
      </c>
      <c r="G464" s="1" t="s">
        <v>18</v>
      </c>
      <c r="H464" s="1">
        <v>2</v>
      </c>
      <c r="I464" s="1">
        <f>Table1[[#This Row],[Units_Sold]]*Table1[[#This Row],[Unit_Price]]</f>
        <v>360.16</v>
      </c>
      <c r="J464" s="1">
        <v>180.08</v>
      </c>
      <c r="K464" s="1">
        <v>0</v>
      </c>
      <c r="L464" s="1">
        <v>360.16</v>
      </c>
      <c r="M464" s="1">
        <v>84.13</v>
      </c>
      <c r="N464" s="1">
        <v>34</v>
      </c>
      <c r="O464" s="1" t="s">
        <v>19</v>
      </c>
      <c r="P464" s="1" t="s">
        <v>20</v>
      </c>
    </row>
    <row r="465" spans="1:16" x14ac:dyDescent="0.3">
      <c r="A465" s="1">
        <v>100235</v>
      </c>
      <c r="B465" s="2">
        <v>45839</v>
      </c>
      <c r="C465" s="1" t="s">
        <v>513</v>
      </c>
      <c r="D465" s="1" t="s">
        <v>62</v>
      </c>
      <c r="E465" s="1" t="s">
        <v>17</v>
      </c>
      <c r="F465" s="1" t="s">
        <v>1239</v>
      </c>
      <c r="G465" s="1" t="s">
        <v>18</v>
      </c>
      <c r="H465" s="1">
        <v>4</v>
      </c>
      <c r="I465" s="1">
        <f>Table1[[#This Row],[Units_Sold]]*Table1[[#This Row],[Unit_Price]]</f>
        <v>474.28</v>
      </c>
      <c r="J465" s="1">
        <v>118.57</v>
      </c>
      <c r="K465" s="1">
        <v>5</v>
      </c>
      <c r="L465" s="1">
        <v>450.57</v>
      </c>
      <c r="M465" s="1">
        <v>134.34</v>
      </c>
      <c r="N465" s="1">
        <v>25</v>
      </c>
      <c r="O465" s="1" t="s">
        <v>26</v>
      </c>
      <c r="P465" s="1" t="s">
        <v>35</v>
      </c>
    </row>
    <row r="466" spans="1:16" x14ac:dyDescent="0.3">
      <c r="A466" s="1">
        <v>100809</v>
      </c>
      <c r="B466" s="2">
        <v>45702</v>
      </c>
      <c r="C466" s="1" t="s">
        <v>514</v>
      </c>
      <c r="D466" s="1" t="s">
        <v>29</v>
      </c>
      <c r="E466" s="1" t="s">
        <v>30</v>
      </c>
      <c r="F466" s="1" t="s">
        <v>1241</v>
      </c>
      <c r="G466" s="1" t="s">
        <v>64</v>
      </c>
      <c r="H466" s="1">
        <v>1</v>
      </c>
      <c r="I466" s="1">
        <f>Table1[[#This Row],[Units_Sold]]*Table1[[#This Row],[Unit_Price]]</f>
        <v>17.52</v>
      </c>
      <c r="J466" s="1">
        <v>17.52</v>
      </c>
      <c r="K466" s="1">
        <v>0</v>
      </c>
      <c r="L466" s="1">
        <v>17.52</v>
      </c>
      <c r="M466" s="1">
        <v>3.67</v>
      </c>
      <c r="N466" s="1">
        <v>22</v>
      </c>
      <c r="O466" s="1" t="s">
        <v>19</v>
      </c>
      <c r="P466" s="1" t="s">
        <v>35</v>
      </c>
    </row>
    <row r="467" spans="1:16" x14ac:dyDescent="0.3">
      <c r="A467" s="1">
        <v>100482</v>
      </c>
      <c r="B467" s="2">
        <v>45306</v>
      </c>
      <c r="C467" s="1" t="s">
        <v>515</v>
      </c>
      <c r="D467" s="1" t="s">
        <v>70</v>
      </c>
      <c r="E467" s="1" t="s">
        <v>25</v>
      </c>
      <c r="F467" s="1" t="s">
        <v>1238</v>
      </c>
      <c r="G467" s="1" t="s">
        <v>64</v>
      </c>
      <c r="H467" s="1">
        <v>3</v>
      </c>
      <c r="I467" s="1">
        <f>Table1[[#This Row],[Units_Sold]]*Table1[[#This Row],[Unit_Price]]</f>
        <v>544.34999999999991</v>
      </c>
      <c r="J467" s="1">
        <v>181.45</v>
      </c>
      <c r="K467" s="1">
        <v>0</v>
      </c>
      <c r="L467" s="1">
        <v>544.35</v>
      </c>
      <c r="M467" s="1">
        <v>133.04</v>
      </c>
      <c r="N467" s="1">
        <v>39</v>
      </c>
      <c r="O467" s="1" t="s">
        <v>26</v>
      </c>
      <c r="P467" s="1" t="s">
        <v>32</v>
      </c>
    </row>
    <row r="468" spans="1:16" x14ac:dyDescent="0.3">
      <c r="A468" s="1">
        <v>100712</v>
      </c>
      <c r="B468" s="2">
        <v>44950</v>
      </c>
      <c r="C468" s="1" t="s">
        <v>516</v>
      </c>
      <c r="D468" s="1" t="s">
        <v>24</v>
      </c>
      <c r="E468" s="1" t="s">
        <v>25</v>
      </c>
      <c r="F468" s="1" t="s">
        <v>1238</v>
      </c>
      <c r="G468" s="1" t="s">
        <v>31</v>
      </c>
      <c r="H468" s="1">
        <v>1</v>
      </c>
      <c r="I468" s="1">
        <f>Table1[[#This Row],[Units_Sold]]*Table1[[#This Row],[Unit_Price]]</f>
        <v>96.24</v>
      </c>
      <c r="J468" s="1">
        <v>96.24</v>
      </c>
      <c r="K468" s="1">
        <v>0</v>
      </c>
      <c r="L468" s="1">
        <v>96.24</v>
      </c>
      <c r="M468" s="1">
        <v>23.12</v>
      </c>
      <c r="N468" s="1">
        <v>19</v>
      </c>
      <c r="O468" s="1" t="s">
        <v>26</v>
      </c>
      <c r="P468" s="1" t="s">
        <v>32</v>
      </c>
    </row>
    <row r="469" spans="1:16" x14ac:dyDescent="0.3">
      <c r="A469" s="1">
        <v>100305</v>
      </c>
      <c r="B469" s="2">
        <v>45741</v>
      </c>
      <c r="C469" s="1" t="s">
        <v>517</v>
      </c>
      <c r="D469" s="1" t="s">
        <v>45</v>
      </c>
      <c r="E469" s="1" t="s">
        <v>30</v>
      </c>
      <c r="F469" s="1" t="s">
        <v>1240</v>
      </c>
      <c r="G469" s="1" t="s">
        <v>48</v>
      </c>
      <c r="H469" s="1">
        <v>3</v>
      </c>
      <c r="I469" s="1">
        <f>Table1[[#This Row],[Units_Sold]]*Table1[[#This Row],[Unit_Price]]</f>
        <v>41.58</v>
      </c>
      <c r="J469" s="1">
        <v>13.86</v>
      </c>
      <c r="K469" s="1">
        <v>5</v>
      </c>
      <c r="L469" s="1">
        <v>39.5</v>
      </c>
      <c r="M469" s="1">
        <v>12.04</v>
      </c>
      <c r="N469" s="1">
        <v>34</v>
      </c>
      <c r="O469" s="1" t="s">
        <v>26</v>
      </c>
      <c r="P469" s="1" t="s">
        <v>43</v>
      </c>
    </row>
    <row r="470" spans="1:16" x14ac:dyDescent="0.3">
      <c r="A470" s="1">
        <v>101110</v>
      </c>
      <c r="B470" s="2">
        <v>45016</v>
      </c>
      <c r="C470" s="1" t="s">
        <v>518</v>
      </c>
      <c r="D470" s="1" t="s">
        <v>87</v>
      </c>
      <c r="E470" s="1" t="s">
        <v>25</v>
      </c>
      <c r="F470" s="1" t="s">
        <v>1241</v>
      </c>
      <c r="G470" s="1" t="s">
        <v>64</v>
      </c>
      <c r="H470" s="1">
        <v>1</v>
      </c>
      <c r="I470" s="1">
        <f>Table1[[#This Row],[Units_Sold]]*Table1[[#This Row],[Unit_Price]]</f>
        <v>93.52</v>
      </c>
      <c r="J470" s="1">
        <v>93.52</v>
      </c>
      <c r="K470" s="1">
        <v>10</v>
      </c>
      <c r="L470" s="1">
        <v>84.17</v>
      </c>
      <c r="M470" s="1">
        <v>25.93</v>
      </c>
      <c r="N470" s="1">
        <v>31</v>
      </c>
      <c r="O470" s="1" t="s">
        <v>26</v>
      </c>
      <c r="P470" s="1" t="s">
        <v>27</v>
      </c>
    </row>
    <row r="471" spans="1:16" x14ac:dyDescent="0.3">
      <c r="A471" s="1">
        <v>101089</v>
      </c>
      <c r="B471" s="2">
        <v>45552</v>
      </c>
      <c r="C471" s="1" t="s">
        <v>519</v>
      </c>
      <c r="D471" s="1" t="s">
        <v>100</v>
      </c>
      <c r="E471" s="1" t="s">
        <v>25</v>
      </c>
      <c r="F471" s="1" t="s">
        <v>1241</v>
      </c>
      <c r="G471" s="1" t="s">
        <v>31</v>
      </c>
      <c r="H471" s="1">
        <v>1</v>
      </c>
      <c r="I471" s="1">
        <f>Table1[[#This Row],[Units_Sold]]*Table1[[#This Row],[Unit_Price]]</f>
        <v>132.69999999999999</v>
      </c>
      <c r="J471" s="1">
        <v>132.69999999999999</v>
      </c>
      <c r="K471" s="1">
        <v>10</v>
      </c>
      <c r="L471" s="1">
        <v>119.43</v>
      </c>
      <c r="M471" s="1">
        <v>21.29</v>
      </c>
      <c r="N471" s="1">
        <v>35</v>
      </c>
      <c r="O471" s="1" t="s">
        <v>26</v>
      </c>
      <c r="P471" s="1" t="s">
        <v>81</v>
      </c>
    </row>
    <row r="472" spans="1:16" x14ac:dyDescent="0.3">
      <c r="A472" s="1">
        <v>100771</v>
      </c>
      <c r="B472" s="2">
        <v>45492</v>
      </c>
      <c r="C472" s="1" t="s">
        <v>520</v>
      </c>
      <c r="D472" s="1" t="s">
        <v>62</v>
      </c>
      <c r="E472" s="1" t="s">
        <v>17</v>
      </c>
      <c r="F472" s="1" t="s">
        <v>1240</v>
      </c>
      <c r="G472" s="1" t="s">
        <v>18</v>
      </c>
      <c r="H472" s="1">
        <v>1</v>
      </c>
      <c r="I472" s="1">
        <f>Table1[[#This Row],[Units_Sold]]*Table1[[#This Row],[Unit_Price]]</f>
        <v>121.17</v>
      </c>
      <c r="J472" s="1">
        <v>121.17</v>
      </c>
      <c r="K472" s="1">
        <v>5</v>
      </c>
      <c r="L472" s="1">
        <v>115.11</v>
      </c>
      <c r="M472" s="1">
        <v>38.85</v>
      </c>
      <c r="N472" s="1">
        <v>31</v>
      </c>
      <c r="O472" s="1" t="s">
        <v>19</v>
      </c>
      <c r="P472" s="1" t="s">
        <v>27</v>
      </c>
    </row>
    <row r="473" spans="1:16" x14ac:dyDescent="0.3">
      <c r="A473" s="1">
        <v>100916</v>
      </c>
      <c r="B473" s="2">
        <v>45508</v>
      </c>
      <c r="C473" s="1" t="s">
        <v>521</v>
      </c>
      <c r="D473" s="1" t="s">
        <v>70</v>
      </c>
      <c r="E473" s="1" t="s">
        <v>25</v>
      </c>
      <c r="F473" s="1" t="s">
        <v>1241</v>
      </c>
      <c r="G473" s="1" t="s">
        <v>64</v>
      </c>
      <c r="H473" s="1">
        <v>1</v>
      </c>
      <c r="I473" s="1">
        <f>Table1[[#This Row],[Units_Sold]]*Table1[[#This Row],[Unit_Price]]</f>
        <v>152.72999999999999</v>
      </c>
      <c r="J473" s="1">
        <v>152.72999999999999</v>
      </c>
      <c r="K473" s="1">
        <v>0</v>
      </c>
      <c r="L473" s="1">
        <v>152.72999999999999</v>
      </c>
      <c r="M473" s="1">
        <v>50.68</v>
      </c>
      <c r="N473" s="1">
        <v>21</v>
      </c>
      <c r="O473" s="1" t="s">
        <v>26</v>
      </c>
      <c r="P473" s="1" t="s">
        <v>32</v>
      </c>
    </row>
    <row r="474" spans="1:16" x14ac:dyDescent="0.3">
      <c r="A474" s="1">
        <v>101138</v>
      </c>
      <c r="B474" s="2">
        <v>45586</v>
      </c>
      <c r="C474" s="1" t="s">
        <v>522</v>
      </c>
      <c r="D474" s="1" t="s">
        <v>77</v>
      </c>
      <c r="E474" s="1" t="s">
        <v>30</v>
      </c>
      <c r="F474" s="1" t="s">
        <v>1239</v>
      </c>
      <c r="G474" s="1" t="s">
        <v>18</v>
      </c>
      <c r="H474" s="1">
        <v>1</v>
      </c>
      <c r="I474" s="1">
        <f>Table1[[#This Row],[Units_Sold]]*Table1[[#This Row],[Unit_Price]]</f>
        <v>35.72</v>
      </c>
      <c r="J474" s="1">
        <v>35.72</v>
      </c>
      <c r="K474" s="1">
        <v>0</v>
      </c>
      <c r="L474" s="1">
        <v>35.72</v>
      </c>
      <c r="M474" s="1">
        <v>15.13</v>
      </c>
      <c r="N474" s="1">
        <v>30</v>
      </c>
      <c r="O474" s="1" t="s">
        <v>19</v>
      </c>
      <c r="P474" s="1" t="s">
        <v>32</v>
      </c>
    </row>
    <row r="475" spans="1:16" x14ac:dyDescent="0.3">
      <c r="A475" s="1">
        <v>100249</v>
      </c>
      <c r="B475" s="2">
        <v>45333</v>
      </c>
      <c r="C475" s="1" t="s">
        <v>523</v>
      </c>
      <c r="D475" s="1" t="s">
        <v>37</v>
      </c>
      <c r="E475" s="1" t="s">
        <v>17</v>
      </c>
      <c r="F475" s="1" t="s">
        <v>1237</v>
      </c>
      <c r="G475" s="1" t="s">
        <v>18</v>
      </c>
      <c r="H475" s="1">
        <v>2</v>
      </c>
      <c r="I475" s="1">
        <f>Table1[[#This Row],[Units_Sold]]*Table1[[#This Row],[Unit_Price]]</f>
        <v>136.58000000000001</v>
      </c>
      <c r="J475" s="1">
        <v>68.290000000000006</v>
      </c>
      <c r="K475" s="1">
        <v>0</v>
      </c>
      <c r="L475" s="1">
        <v>136.58000000000001</v>
      </c>
      <c r="M475" s="1">
        <v>38.71</v>
      </c>
      <c r="N475" s="1">
        <v>34</v>
      </c>
      <c r="O475" s="1" t="s">
        <v>26</v>
      </c>
      <c r="P475" s="1" t="s">
        <v>43</v>
      </c>
    </row>
    <row r="476" spans="1:16" x14ac:dyDescent="0.3">
      <c r="A476" s="1">
        <v>100759</v>
      </c>
      <c r="B476" s="2">
        <v>45517</v>
      </c>
      <c r="C476" s="1" t="s">
        <v>524</v>
      </c>
      <c r="D476" s="1" t="s">
        <v>53</v>
      </c>
      <c r="E476" s="1" t="s">
        <v>30</v>
      </c>
      <c r="F476" s="1" t="s">
        <v>1240</v>
      </c>
      <c r="G476" s="1" t="s">
        <v>31</v>
      </c>
      <c r="H476" s="1">
        <v>5</v>
      </c>
      <c r="I476" s="1">
        <f>Table1[[#This Row],[Units_Sold]]*Table1[[#This Row],[Unit_Price]]</f>
        <v>113.94999999999999</v>
      </c>
      <c r="J476" s="1">
        <v>22.79</v>
      </c>
      <c r="K476" s="1">
        <v>20</v>
      </c>
      <c r="L476" s="1">
        <v>91.16</v>
      </c>
      <c r="M476" s="1">
        <v>27.55</v>
      </c>
      <c r="N476" s="1">
        <v>23</v>
      </c>
      <c r="O476" s="1" t="s">
        <v>26</v>
      </c>
      <c r="P476" s="1" t="s">
        <v>32</v>
      </c>
    </row>
    <row r="477" spans="1:16" x14ac:dyDescent="0.3">
      <c r="A477" s="1">
        <v>100594</v>
      </c>
      <c r="B477" s="2">
        <v>44930</v>
      </c>
      <c r="C477" s="1" t="s">
        <v>525</v>
      </c>
      <c r="D477" s="1" t="s">
        <v>100</v>
      </c>
      <c r="E477" s="1" t="s">
        <v>25</v>
      </c>
      <c r="F477" s="1" t="s">
        <v>1241</v>
      </c>
      <c r="G477" s="1" t="s">
        <v>31</v>
      </c>
      <c r="H477" s="1">
        <v>2</v>
      </c>
      <c r="I477" s="1">
        <f>Table1[[#This Row],[Units_Sold]]*Table1[[#This Row],[Unit_Price]]</f>
        <v>239.16</v>
      </c>
      <c r="J477" s="1">
        <v>119.58</v>
      </c>
      <c r="K477" s="1">
        <v>0</v>
      </c>
      <c r="L477" s="1">
        <v>239.16</v>
      </c>
      <c r="M477" s="1">
        <v>62.75</v>
      </c>
      <c r="N477" s="1">
        <v>37</v>
      </c>
      <c r="O477" s="1" t="s">
        <v>26</v>
      </c>
      <c r="P477" s="1" t="s">
        <v>81</v>
      </c>
    </row>
    <row r="478" spans="1:16" x14ac:dyDescent="0.3">
      <c r="A478" s="1">
        <v>100071</v>
      </c>
      <c r="B478" s="2">
        <v>45014</v>
      </c>
      <c r="C478" s="1" t="s">
        <v>526</v>
      </c>
      <c r="D478" s="1" t="s">
        <v>37</v>
      </c>
      <c r="E478" s="1" t="s">
        <v>17</v>
      </c>
      <c r="F478" s="1" t="s">
        <v>1238</v>
      </c>
      <c r="G478" s="1" t="s">
        <v>31</v>
      </c>
      <c r="H478" s="1">
        <v>2</v>
      </c>
      <c r="I478" s="1">
        <f>Table1[[#This Row],[Units_Sold]]*Table1[[#This Row],[Unit_Price]]</f>
        <v>160.34</v>
      </c>
      <c r="J478" s="1">
        <v>80.17</v>
      </c>
      <c r="K478" s="1">
        <v>0</v>
      </c>
      <c r="L478" s="1">
        <v>160.34</v>
      </c>
      <c r="M478" s="1">
        <v>43.83</v>
      </c>
      <c r="N478" s="1">
        <v>37</v>
      </c>
      <c r="O478" s="1" t="s">
        <v>19</v>
      </c>
      <c r="P478" s="1" t="s">
        <v>46</v>
      </c>
    </row>
    <row r="479" spans="1:16" x14ac:dyDescent="0.3">
      <c r="A479" s="1">
        <v>100094</v>
      </c>
      <c r="B479" s="2">
        <v>45352</v>
      </c>
      <c r="C479" s="1" t="s">
        <v>527</v>
      </c>
      <c r="D479" s="1" t="s">
        <v>53</v>
      </c>
      <c r="E479" s="1" t="s">
        <v>30</v>
      </c>
      <c r="F479" s="1" t="s">
        <v>1241</v>
      </c>
      <c r="G479" s="1" t="s">
        <v>31</v>
      </c>
      <c r="H479" s="1">
        <v>2</v>
      </c>
      <c r="I479" s="1">
        <f>Table1[[#This Row],[Units_Sold]]*Table1[[#This Row],[Unit_Price]]</f>
        <v>40.26</v>
      </c>
      <c r="J479" s="1">
        <v>20.13</v>
      </c>
      <c r="K479" s="1">
        <v>0</v>
      </c>
      <c r="L479" s="1">
        <v>40.26</v>
      </c>
      <c r="M479" s="1">
        <v>11.44</v>
      </c>
      <c r="N479" s="1">
        <v>31</v>
      </c>
      <c r="O479" s="1" t="s">
        <v>26</v>
      </c>
      <c r="P479" s="1" t="s">
        <v>35</v>
      </c>
    </row>
    <row r="480" spans="1:16" x14ac:dyDescent="0.3">
      <c r="A480" s="1">
        <v>100545</v>
      </c>
      <c r="B480" s="2">
        <v>44971</v>
      </c>
      <c r="C480" s="1" t="s">
        <v>528</v>
      </c>
      <c r="D480" s="1" t="s">
        <v>68</v>
      </c>
      <c r="E480" s="1" t="s">
        <v>25</v>
      </c>
      <c r="F480" s="1" t="s">
        <v>1241</v>
      </c>
      <c r="G480" s="1" t="s">
        <v>18</v>
      </c>
      <c r="H480" s="1">
        <v>2</v>
      </c>
      <c r="I480" s="1">
        <f>Table1[[#This Row],[Units_Sold]]*Table1[[#This Row],[Unit_Price]]</f>
        <v>444.86</v>
      </c>
      <c r="J480" s="1">
        <v>222.43</v>
      </c>
      <c r="K480" s="1">
        <v>20</v>
      </c>
      <c r="L480" s="1">
        <v>355.89</v>
      </c>
      <c r="M480" s="1">
        <v>115.76</v>
      </c>
      <c r="N480" s="1">
        <v>31</v>
      </c>
      <c r="O480" s="1" t="s">
        <v>26</v>
      </c>
      <c r="P480" s="1" t="s">
        <v>81</v>
      </c>
    </row>
    <row r="481" spans="1:16" x14ac:dyDescent="0.3">
      <c r="A481" s="1">
        <v>100033</v>
      </c>
      <c r="B481" s="2">
        <v>45888</v>
      </c>
      <c r="C481" s="1" t="s">
        <v>529</v>
      </c>
      <c r="D481" s="1" t="s">
        <v>68</v>
      </c>
      <c r="E481" s="1" t="s">
        <v>25</v>
      </c>
      <c r="F481" s="1" t="s">
        <v>1239</v>
      </c>
      <c r="G481" s="1" t="s">
        <v>31</v>
      </c>
      <c r="H481" s="1">
        <v>2</v>
      </c>
      <c r="I481" s="1">
        <f>Table1[[#This Row],[Units_Sold]]*Table1[[#This Row],[Unit_Price]]</f>
        <v>409.82</v>
      </c>
      <c r="J481" s="1">
        <v>204.91</v>
      </c>
      <c r="K481" s="1">
        <v>40</v>
      </c>
      <c r="L481" s="1">
        <v>245.89</v>
      </c>
      <c r="M481" s="1">
        <v>60.6</v>
      </c>
      <c r="N481" s="1">
        <v>33</v>
      </c>
      <c r="O481" s="1" t="s">
        <v>26</v>
      </c>
      <c r="P481" s="1" t="s">
        <v>20</v>
      </c>
    </row>
    <row r="482" spans="1:16" x14ac:dyDescent="0.3">
      <c r="A482" s="1">
        <v>100861</v>
      </c>
      <c r="B482" s="2">
        <v>45252</v>
      </c>
      <c r="C482" s="1" t="s">
        <v>530</v>
      </c>
      <c r="D482" s="1" t="s">
        <v>29</v>
      </c>
      <c r="E482" s="1" t="s">
        <v>30</v>
      </c>
      <c r="F482" s="1" t="s">
        <v>1241</v>
      </c>
      <c r="G482" s="1" t="s">
        <v>18</v>
      </c>
      <c r="H482" s="1">
        <v>1</v>
      </c>
      <c r="I482" s="1">
        <f>Table1[[#This Row],[Units_Sold]]*Table1[[#This Row],[Unit_Price]]</f>
        <v>16.010000000000002</v>
      </c>
      <c r="J482" s="1">
        <v>16.010000000000002</v>
      </c>
      <c r="K482" s="1">
        <v>0</v>
      </c>
      <c r="L482" s="1">
        <v>16.010000000000002</v>
      </c>
      <c r="M482" s="1">
        <v>5.89</v>
      </c>
      <c r="N482" s="1">
        <v>16</v>
      </c>
      <c r="O482" s="1" t="s">
        <v>19</v>
      </c>
      <c r="P482" s="1" t="s">
        <v>81</v>
      </c>
    </row>
    <row r="483" spans="1:16" x14ac:dyDescent="0.3">
      <c r="A483" s="1">
        <v>100578</v>
      </c>
      <c r="B483" s="2">
        <v>45521</v>
      </c>
      <c r="C483" s="1" t="s">
        <v>531</v>
      </c>
      <c r="D483" s="1" t="s">
        <v>45</v>
      </c>
      <c r="E483" s="1" t="s">
        <v>30</v>
      </c>
      <c r="F483" s="1" t="s">
        <v>1241</v>
      </c>
      <c r="G483" s="1" t="s">
        <v>18</v>
      </c>
      <c r="H483" s="1">
        <v>2</v>
      </c>
      <c r="I483" s="1">
        <f>Table1[[#This Row],[Units_Sold]]*Table1[[#This Row],[Unit_Price]]</f>
        <v>33.96</v>
      </c>
      <c r="J483" s="1">
        <v>16.98</v>
      </c>
      <c r="K483" s="1">
        <v>0</v>
      </c>
      <c r="L483" s="1">
        <v>33.96</v>
      </c>
      <c r="M483" s="1">
        <v>13.75</v>
      </c>
      <c r="N483" s="1">
        <v>19</v>
      </c>
      <c r="O483" s="1" t="s">
        <v>19</v>
      </c>
      <c r="P483" s="1" t="s">
        <v>35</v>
      </c>
    </row>
    <row r="484" spans="1:16" x14ac:dyDescent="0.3">
      <c r="A484" s="1">
        <v>100448</v>
      </c>
      <c r="B484" s="2">
        <v>45317</v>
      </c>
      <c r="C484" s="1" t="s">
        <v>532</v>
      </c>
      <c r="D484" s="1" t="s">
        <v>87</v>
      </c>
      <c r="E484" s="1" t="s">
        <v>25</v>
      </c>
      <c r="F484" s="1" t="s">
        <v>1238</v>
      </c>
      <c r="G484" s="1" t="s">
        <v>18</v>
      </c>
      <c r="H484" s="1">
        <v>3</v>
      </c>
      <c r="I484" s="1">
        <f>Table1[[#This Row],[Units_Sold]]*Table1[[#This Row],[Unit_Price]]</f>
        <v>241.89</v>
      </c>
      <c r="J484" s="1">
        <v>80.63</v>
      </c>
      <c r="K484" s="1">
        <v>5</v>
      </c>
      <c r="L484" s="1">
        <v>229.8</v>
      </c>
      <c r="M484" s="1">
        <v>88.49</v>
      </c>
      <c r="N484" s="1">
        <v>29</v>
      </c>
      <c r="O484" s="1" t="s">
        <v>19</v>
      </c>
      <c r="P484" s="1" t="s">
        <v>43</v>
      </c>
    </row>
    <row r="485" spans="1:16" x14ac:dyDescent="0.3">
      <c r="A485" s="1">
        <v>100445</v>
      </c>
      <c r="B485" s="2">
        <v>45001</v>
      </c>
      <c r="C485" s="1" t="s">
        <v>533</v>
      </c>
      <c r="D485" s="1" t="s">
        <v>66</v>
      </c>
      <c r="E485" s="1" t="s">
        <v>17</v>
      </c>
      <c r="F485" s="1" t="s">
        <v>1240</v>
      </c>
      <c r="G485" s="1" t="s">
        <v>31</v>
      </c>
      <c r="H485" s="1">
        <v>4</v>
      </c>
      <c r="I485" s="1">
        <f>Table1[[#This Row],[Units_Sold]]*Table1[[#This Row],[Unit_Price]]</f>
        <v>474.12</v>
      </c>
      <c r="J485" s="1">
        <v>118.53</v>
      </c>
      <c r="K485" s="1">
        <v>0</v>
      </c>
      <c r="L485" s="1">
        <v>474.12</v>
      </c>
      <c r="M485" s="1">
        <v>176</v>
      </c>
      <c r="N485" s="1">
        <v>26</v>
      </c>
      <c r="O485" s="1" t="s">
        <v>19</v>
      </c>
      <c r="P485" s="1" t="s">
        <v>35</v>
      </c>
    </row>
    <row r="486" spans="1:16" x14ac:dyDescent="0.3">
      <c r="A486" s="1">
        <v>100259</v>
      </c>
      <c r="B486" s="2">
        <v>45596</v>
      </c>
      <c r="C486" s="1" t="s">
        <v>534</v>
      </c>
      <c r="D486" s="1" t="s">
        <v>70</v>
      </c>
      <c r="E486" s="1" t="s">
        <v>25</v>
      </c>
      <c r="F486" s="1" t="s">
        <v>1238</v>
      </c>
      <c r="G486" s="1" t="s">
        <v>31</v>
      </c>
      <c r="H486" s="1">
        <v>4</v>
      </c>
      <c r="I486" s="1">
        <f>Table1[[#This Row],[Units_Sold]]*Table1[[#This Row],[Unit_Price]]</f>
        <v>598.52</v>
      </c>
      <c r="J486" s="1">
        <v>149.63</v>
      </c>
      <c r="K486" s="1">
        <v>10</v>
      </c>
      <c r="L486" s="1">
        <v>538.66999999999996</v>
      </c>
      <c r="M486" s="1">
        <v>129.47</v>
      </c>
      <c r="N486" s="1">
        <v>29</v>
      </c>
      <c r="O486" s="1" t="s">
        <v>26</v>
      </c>
      <c r="P486" s="1" t="s">
        <v>81</v>
      </c>
    </row>
    <row r="487" spans="1:16" x14ac:dyDescent="0.3">
      <c r="A487" s="1">
        <v>100204</v>
      </c>
      <c r="B487" s="2">
        <v>45330</v>
      </c>
      <c r="C487" s="1" t="s">
        <v>535</v>
      </c>
      <c r="D487" s="1" t="s">
        <v>59</v>
      </c>
      <c r="E487" s="1" t="s">
        <v>17</v>
      </c>
      <c r="F487" s="1" t="s">
        <v>1238</v>
      </c>
      <c r="G487" s="1" t="s">
        <v>64</v>
      </c>
      <c r="H487" s="1">
        <v>3</v>
      </c>
      <c r="I487" s="1">
        <f>Table1[[#This Row],[Units_Sold]]*Table1[[#This Row],[Unit_Price]]</f>
        <v>88.14</v>
      </c>
      <c r="J487" s="1">
        <v>29.38</v>
      </c>
      <c r="K487" s="1">
        <v>0</v>
      </c>
      <c r="L487" s="1">
        <v>88.14</v>
      </c>
      <c r="M487" s="1">
        <v>31.2</v>
      </c>
      <c r="N487" s="1">
        <v>27</v>
      </c>
      <c r="O487" s="1" t="s">
        <v>19</v>
      </c>
      <c r="P487" s="1" t="s">
        <v>51</v>
      </c>
    </row>
    <row r="488" spans="1:16" x14ac:dyDescent="0.3">
      <c r="A488" s="1">
        <v>100572</v>
      </c>
      <c r="B488" s="2">
        <v>45930</v>
      </c>
      <c r="C488" s="1" t="s">
        <v>536</v>
      </c>
      <c r="D488" s="1" t="s">
        <v>62</v>
      </c>
      <c r="E488" s="1" t="s">
        <v>17</v>
      </c>
      <c r="F488" s="1" t="s">
        <v>1237</v>
      </c>
      <c r="G488" s="1" t="s">
        <v>48</v>
      </c>
      <c r="H488" s="1">
        <v>4</v>
      </c>
      <c r="I488" s="1">
        <f>Table1[[#This Row],[Units_Sold]]*Table1[[#This Row],[Unit_Price]]</f>
        <v>492.16</v>
      </c>
      <c r="J488" s="1">
        <v>123.04</v>
      </c>
      <c r="K488" s="1">
        <v>0</v>
      </c>
      <c r="L488" s="1">
        <v>492.16</v>
      </c>
      <c r="M488" s="1">
        <v>147.30000000000001</v>
      </c>
      <c r="N488" s="1">
        <v>31</v>
      </c>
      <c r="O488" s="1" t="s">
        <v>26</v>
      </c>
      <c r="P488" s="1" t="s">
        <v>27</v>
      </c>
    </row>
    <row r="489" spans="1:16" x14ac:dyDescent="0.3">
      <c r="A489" s="1">
        <v>100823</v>
      </c>
      <c r="B489" s="2">
        <v>45237</v>
      </c>
      <c r="C489" s="1" t="s">
        <v>537</v>
      </c>
      <c r="D489" s="1" t="s">
        <v>37</v>
      </c>
      <c r="E489" s="1" t="s">
        <v>17</v>
      </c>
      <c r="F489" s="1" t="s">
        <v>1241</v>
      </c>
      <c r="G489" s="1" t="s">
        <v>18</v>
      </c>
      <c r="H489" s="1">
        <v>4</v>
      </c>
      <c r="I489" s="1">
        <f>Table1[[#This Row],[Units_Sold]]*Table1[[#This Row],[Unit_Price]]</f>
        <v>301.2</v>
      </c>
      <c r="J489" s="1">
        <v>75.3</v>
      </c>
      <c r="K489" s="1">
        <v>20</v>
      </c>
      <c r="L489" s="1">
        <v>240.96</v>
      </c>
      <c r="M489" s="1">
        <v>72.11</v>
      </c>
      <c r="N489" s="1">
        <v>28</v>
      </c>
      <c r="O489" s="1" t="s">
        <v>19</v>
      </c>
      <c r="P489" s="1" t="s">
        <v>43</v>
      </c>
    </row>
    <row r="490" spans="1:16" x14ac:dyDescent="0.3">
      <c r="A490" s="1">
        <v>100585</v>
      </c>
      <c r="B490" s="2">
        <v>45835</v>
      </c>
      <c r="C490" s="1" t="s">
        <v>538</v>
      </c>
      <c r="D490" s="1" t="s">
        <v>37</v>
      </c>
      <c r="E490" s="1" t="s">
        <v>17</v>
      </c>
      <c r="F490" s="1" t="s">
        <v>1237</v>
      </c>
      <c r="G490" s="1" t="s">
        <v>31</v>
      </c>
      <c r="H490" s="1">
        <v>1</v>
      </c>
      <c r="I490" s="1">
        <f>Table1[[#This Row],[Units_Sold]]*Table1[[#This Row],[Unit_Price]]</f>
        <v>75.63</v>
      </c>
      <c r="J490" s="1">
        <v>75.63</v>
      </c>
      <c r="K490" s="1">
        <v>5</v>
      </c>
      <c r="L490" s="1">
        <v>71.849999999999994</v>
      </c>
      <c r="M490" s="1">
        <v>12.65</v>
      </c>
      <c r="N490" s="1">
        <v>41</v>
      </c>
      <c r="O490" s="1" t="s">
        <v>19</v>
      </c>
      <c r="P490" s="1" t="s">
        <v>43</v>
      </c>
    </row>
    <row r="491" spans="1:16" x14ac:dyDescent="0.3">
      <c r="A491" s="1">
        <v>100365</v>
      </c>
      <c r="B491" s="2">
        <v>44981</v>
      </c>
      <c r="C491" s="1" t="s">
        <v>539</v>
      </c>
      <c r="D491" s="1" t="s">
        <v>87</v>
      </c>
      <c r="E491" s="1" t="s">
        <v>25</v>
      </c>
      <c r="F491" s="1" t="s">
        <v>1240</v>
      </c>
      <c r="G491" s="1" t="s">
        <v>18</v>
      </c>
      <c r="H491" s="1">
        <v>5</v>
      </c>
      <c r="I491" s="1">
        <f>Table1[[#This Row],[Units_Sold]]*Table1[[#This Row],[Unit_Price]]</f>
        <v>373.9</v>
      </c>
      <c r="J491" s="1">
        <v>74.78</v>
      </c>
      <c r="K491" s="1">
        <v>5</v>
      </c>
      <c r="L491" s="1">
        <v>355.2</v>
      </c>
      <c r="M491" s="1">
        <v>100.14</v>
      </c>
      <c r="N491" s="1">
        <v>32</v>
      </c>
      <c r="O491" s="1" t="s">
        <v>19</v>
      </c>
      <c r="P491" s="1" t="s">
        <v>20</v>
      </c>
    </row>
    <row r="492" spans="1:16" x14ac:dyDescent="0.3">
      <c r="A492" s="1">
        <v>100811</v>
      </c>
      <c r="B492" s="2">
        <v>45102</v>
      </c>
      <c r="C492" s="1" t="s">
        <v>540</v>
      </c>
      <c r="D492" s="1" t="s">
        <v>53</v>
      </c>
      <c r="E492" s="1" t="s">
        <v>30</v>
      </c>
      <c r="F492" s="1" t="s">
        <v>1238</v>
      </c>
      <c r="G492" s="1" t="s">
        <v>31</v>
      </c>
      <c r="H492" s="1">
        <v>4</v>
      </c>
      <c r="I492" s="1">
        <f>Table1[[#This Row],[Units_Sold]]*Table1[[#This Row],[Unit_Price]]</f>
        <v>85.16</v>
      </c>
      <c r="J492" s="1">
        <v>21.29</v>
      </c>
      <c r="K492" s="1">
        <v>5</v>
      </c>
      <c r="L492" s="1">
        <v>80.900000000000006</v>
      </c>
      <c r="M492" s="1">
        <v>30.97</v>
      </c>
      <c r="N492" s="1">
        <v>31</v>
      </c>
      <c r="O492" s="1" t="s">
        <v>19</v>
      </c>
      <c r="P492" s="1" t="s">
        <v>46</v>
      </c>
    </row>
    <row r="493" spans="1:16" x14ac:dyDescent="0.3">
      <c r="A493" s="1">
        <v>100077</v>
      </c>
      <c r="B493" s="2">
        <v>45514</v>
      </c>
      <c r="C493" s="1" t="s">
        <v>541</v>
      </c>
      <c r="D493" s="1" t="s">
        <v>16</v>
      </c>
      <c r="E493" s="1" t="s">
        <v>17</v>
      </c>
      <c r="F493" s="1" t="s">
        <v>1238</v>
      </c>
      <c r="G493" s="1" t="s">
        <v>18</v>
      </c>
      <c r="H493" s="1">
        <v>1</v>
      </c>
      <c r="I493" s="1">
        <f>Table1[[#This Row],[Units_Sold]]*Table1[[#This Row],[Unit_Price]]</f>
        <v>52.36</v>
      </c>
      <c r="J493" s="1">
        <v>52.36</v>
      </c>
      <c r="K493" s="1">
        <v>5</v>
      </c>
      <c r="L493" s="1">
        <v>49.74</v>
      </c>
      <c r="M493" s="1">
        <v>14.7</v>
      </c>
      <c r="N493" s="1">
        <v>32</v>
      </c>
      <c r="O493" s="1" t="s">
        <v>26</v>
      </c>
      <c r="P493" s="1" t="s">
        <v>46</v>
      </c>
    </row>
    <row r="494" spans="1:16" x14ac:dyDescent="0.3">
      <c r="A494" s="1">
        <v>100084</v>
      </c>
      <c r="B494" s="2">
        <v>45738</v>
      </c>
      <c r="C494" s="1" t="s">
        <v>542</v>
      </c>
      <c r="D494" s="1" t="s">
        <v>16</v>
      </c>
      <c r="E494" s="1" t="s">
        <v>17</v>
      </c>
      <c r="F494" s="1" t="s">
        <v>1237</v>
      </c>
      <c r="G494" s="1" t="s">
        <v>64</v>
      </c>
      <c r="H494" s="1">
        <v>3</v>
      </c>
      <c r="I494" s="1">
        <f>Table1[[#This Row],[Units_Sold]]*Table1[[#This Row],[Unit_Price]]</f>
        <v>170.07</v>
      </c>
      <c r="J494" s="1">
        <v>56.69</v>
      </c>
      <c r="K494" s="1">
        <v>0</v>
      </c>
      <c r="L494" s="1">
        <v>170.07</v>
      </c>
      <c r="M494" s="1">
        <v>47.29</v>
      </c>
      <c r="N494" s="1">
        <v>29</v>
      </c>
      <c r="O494" s="1" t="s">
        <v>26</v>
      </c>
      <c r="P494" s="1" t="s">
        <v>46</v>
      </c>
    </row>
    <row r="495" spans="1:16" x14ac:dyDescent="0.3">
      <c r="A495" s="1">
        <v>100538</v>
      </c>
      <c r="B495" s="2">
        <v>45880</v>
      </c>
      <c r="C495" s="1" t="s">
        <v>543</v>
      </c>
      <c r="D495" s="1" t="s">
        <v>70</v>
      </c>
      <c r="E495" s="1" t="s">
        <v>25</v>
      </c>
      <c r="F495" s="1" t="s">
        <v>1237</v>
      </c>
      <c r="G495" s="1" t="s">
        <v>31</v>
      </c>
      <c r="H495" s="1">
        <v>4</v>
      </c>
      <c r="I495" s="1">
        <f>Table1[[#This Row],[Units_Sold]]*Table1[[#This Row],[Unit_Price]]</f>
        <v>614.04</v>
      </c>
      <c r="J495" s="1">
        <v>153.51</v>
      </c>
      <c r="K495" s="1">
        <v>10</v>
      </c>
      <c r="L495" s="1">
        <v>552.64</v>
      </c>
      <c r="M495" s="1">
        <v>160.62</v>
      </c>
      <c r="N495" s="1">
        <v>16</v>
      </c>
      <c r="O495" s="1" t="s">
        <v>19</v>
      </c>
      <c r="P495" s="1" t="s">
        <v>35</v>
      </c>
    </row>
    <row r="496" spans="1:16" x14ac:dyDescent="0.3">
      <c r="A496" s="1">
        <v>100082</v>
      </c>
      <c r="B496" s="2">
        <v>44960</v>
      </c>
      <c r="C496" s="1" t="s">
        <v>544</v>
      </c>
      <c r="D496" s="1" t="s">
        <v>37</v>
      </c>
      <c r="E496" s="1" t="s">
        <v>17</v>
      </c>
      <c r="F496" s="1" t="s">
        <v>1241</v>
      </c>
      <c r="G496" s="1" t="s">
        <v>48</v>
      </c>
      <c r="H496" s="1">
        <v>4</v>
      </c>
      <c r="I496" s="1">
        <f>Table1[[#This Row],[Units_Sold]]*Table1[[#This Row],[Unit_Price]]</f>
        <v>299.83999999999997</v>
      </c>
      <c r="J496" s="1">
        <v>74.959999999999994</v>
      </c>
      <c r="K496" s="1">
        <v>5</v>
      </c>
      <c r="L496" s="1">
        <v>284.85000000000002</v>
      </c>
      <c r="M496" s="1">
        <v>77.42</v>
      </c>
      <c r="N496" s="1">
        <v>37</v>
      </c>
      <c r="O496" s="1" t="s">
        <v>26</v>
      </c>
      <c r="P496" s="1" t="s">
        <v>51</v>
      </c>
    </row>
    <row r="497" spans="1:16" x14ac:dyDescent="0.3">
      <c r="A497" s="1">
        <v>100457</v>
      </c>
      <c r="B497" s="2">
        <v>45477</v>
      </c>
      <c r="C497" s="1" t="s">
        <v>545</v>
      </c>
      <c r="D497" s="1" t="s">
        <v>45</v>
      </c>
      <c r="E497" s="1" t="s">
        <v>30</v>
      </c>
      <c r="F497" s="1" t="s">
        <v>1238</v>
      </c>
      <c r="G497" s="1" t="s">
        <v>31</v>
      </c>
      <c r="H497" s="1">
        <v>4</v>
      </c>
      <c r="I497" s="1">
        <f>Table1[[#This Row],[Units_Sold]]*Table1[[#This Row],[Unit_Price]]</f>
        <v>59.32</v>
      </c>
      <c r="J497" s="1">
        <v>14.83</v>
      </c>
      <c r="K497" s="1">
        <v>0</v>
      </c>
      <c r="L497" s="1">
        <v>59.32</v>
      </c>
      <c r="M497" s="1">
        <v>26.54</v>
      </c>
      <c r="N497" s="1">
        <v>26</v>
      </c>
      <c r="O497" s="1" t="s">
        <v>19</v>
      </c>
      <c r="P497" s="1" t="s">
        <v>43</v>
      </c>
    </row>
    <row r="498" spans="1:16" x14ac:dyDescent="0.3">
      <c r="A498" s="1">
        <v>101137</v>
      </c>
      <c r="B498" s="2">
        <v>45358</v>
      </c>
      <c r="C498" s="1" t="s">
        <v>105</v>
      </c>
      <c r="D498" s="1" t="s">
        <v>87</v>
      </c>
      <c r="E498" s="1" t="s">
        <v>25</v>
      </c>
      <c r="F498" s="1" t="s">
        <v>1241</v>
      </c>
      <c r="G498" s="1" t="s">
        <v>18</v>
      </c>
      <c r="H498" s="1">
        <v>5</v>
      </c>
      <c r="I498" s="1">
        <f>Table1[[#This Row],[Units_Sold]]*Table1[[#This Row],[Unit_Price]]</f>
        <v>443.15</v>
      </c>
      <c r="J498" s="1">
        <v>88.63</v>
      </c>
      <c r="K498" s="1">
        <v>10</v>
      </c>
      <c r="L498" s="1">
        <v>398.83</v>
      </c>
      <c r="M498" s="1">
        <v>94.16</v>
      </c>
      <c r="N498" s="1">
        <v>22</v>
      </c>
      <c r="O498" s="1" t="s">
        <v>26</v>
      </c>
      <c r="P498" s="1" t="s">
        <v>81</v>
      </c>
    </row>
    <row r="499" spans="1:16" x14ac:dyDescent="0.3">
      <c r="A499" s="1">
        <v>100614</v>
      </c>
      <c r="B499" s="2">
        <v>45721</v>
      </c>
      <c r="C499" s="1" t="s">
        <v>546</v>
      </c>
      <c r="D499" s="1" t="s">
        <v>66</v>
      </c>
      <c r="E499" s="1" t="s">
        <v>17</v>
      </c>
      <c r="F499" s="1" t="s">
        <v>1239</v>
      </c>
      <c r="G499" s="1" t="s">
        <v>48</v>
      </c>
      <c r="H499" s="1">
        <v>2</v>
      </c>
      <c r="I499" s="1">
        <f>Table1[[#This Row],[Units_Sold]]*Table1[[#This Row],[Unit_Price]]</f>
        <v>241.52</v>
      </c>
      <c r="J499" s="1">
        <v>120.76</v>
      </c>
      <c r="K499" s="1">
        <v>10</v>
      </c>
      <c r="L499" s="1">
        <v>217.37</v>
      </c>
      <c r="M499" s="1">
        <v>68.09</v>
      </c>
      <c r="N499" s="1">
        <v>16</v>
      </c>
      <c r="O499" s="1" t="s">
        <v>19</v>
      </c>
      <c r="P499" s="1" t="s">
        <v>35</v>
      </c>
    </row>
    <row r="500" spans="1:16" x14ac:dyDescent="0.3">
      <c r="A500" s="1">
        <v>101185</v>
      </c>
      <c r="B500" s="2">
        <v>45768</v>
      </c>
      <c r="C500" s="1" t="s">
        <v>547</v>
      </c>
      <c r="D500" s="1" t="s">
        <v>100</v>
      </c>
      <c r="E500" s="1" t="s">
        <v>25</v>
      </c>
      <c r="F500" s="1" t="s">
        <v>1239</v>
      </c>
      <c r="G500" s="1" t="s">
        <v>31</v>
      </c>
      <c r="H500" s="1">
        <v>3</v>
      </c>
      <c r="I500" s="1">
        <f>Table1[[#This Row],[Units_Sold]]*Table1[[#This Row],[Unit_Price]]</f>
        <v>427.83000000000004</v>
      </c>
      <c r="J500" s="1">
        <v>142.61000000000001</v>
      </c>
      <c r="K500" s="1">
        <v>0</v>
      </c>
      <c r="L500" s="1">
        <v>427.83</v>
      </c>
      <c r="M500" s="1">
        <v>125.1</v>
      </c>
      <c r="N500" s="1">
        <v>42</v>
      </c>
      <c r="O500" s="1" t="s">
        <v>26</v>
      </c>
      <c r="P500" s="1" t="s">
        <v>81</v>
      </c>
    </row>
    <row r="501" spans="1:16" x14ac:dyDescent="0.3">
      <c r="A501" s="1">
        <v>101075</v>
      </c>
      <c r="B501" s="2">
        <v>45688</v>
      </c>
      <c r="C501" s="1" t="s">
        <v>548</v>
      </c>
      <c r="D501" s="1" t="s">
        <v>68</v>
      </c>
      <c r="E501" s="1" t="s">
        <v>25</v>
      </c>
      <c r="F501" s="1" t="s">
        <v>1237</v>
      </c>
      <c r="G501" s="1" t="s">
        <v>18</v>
      </c>
      <c r="H501" s="1">
        <v>2</v>
      </c>
      <c r="I501" s="1">
        <f>Table1[[#This Row],[Units_Sold]]*Table1[[#This Row],[Unit_Price]]</f>
        <v>489.7</v>
      </c>
      <c r="J501" s="1">
        <v>244.85</v>
      </c>
      <c r="K501" s="1">
        <v>0</v>
      </c>
      <c r="L501" s="1">
        <v>489.7</v>
      </c>
      <c r="M501" s="1">
        <v>155.19</v>
      </c>
      <c r="N501" s="1">
        <v>22</v>
      </c>
      <c r="O501" s="1" t="s">
        <v>26</v>
      </c>
      <c r="P501" s="1" t="s">
        <v>43</v>
      </c>
    </row>
    <row r="502" spans="1:16" x14ac:dyDescent="0.3">
      <c r="A502" s="1">
        <v>100736</v>
      </c>
      <c r="B502" s="2">
        <v>45453</v>
      </c>
      <c r="C502" s="1" t="s">
        <v>549</v>
      </c>
      <c r="D502" s="1" t="s">
        <v>37</v>
      </c>
      <c r="E502" s="1" t="s">
        <v>17</v>
      </c>
      <c r="F502" s="1" t="s">
        <v>1237</v>
      </c>
      <c r="G502" s="1" t="s">
        <v>18</v>
      </c>
      <c r="H502" s="1">
        <v>4</v>
      </c>
      <c r="I502" s="1">
        <f>Table1[[#This Row],[Units_Sold]]*Table1[[#This Row],[Unit_Price]]</f>
        <v>288.48</v>
      </c>
      <c r="J502" s="1">
        <v>72.12</v>
      </c>
      <c r="K502" s="1">
        <v>5</v>
      </c>
      <c r="L502" s="1">
        <v>274.06</v>
      </c>
      <c r="M502" s="1">
        <v>96.97</v>
      </c>
      <c r="N502" s="1">
        <v>34</v>
      </c>
      <c r="O502" s="1" t="s">
        <v>26</v>
      </c>
      <c r="P502" s="1" t="s">
        <v>35</v>
      </c>
    </row>
    <row r="503" spans="1:16" x14ac:dyDescent="0.3">
      <c r="A503" s="1">
        <v>100436</v>
      </c>
      <c r="B503" s="2">
        <v>45654</v>
      </c>
      <c r="C503" s="1" t="s">
        <v>550</v>
      </c>
      <c r="D503" s="1" t="s">
        <v>87</v>
      </c>
      <c r="E503" s="1" t="s">
        <v>25</v>
      </c>
      <c r="F503" s="1" t="s">
        <v>1237</v>
      </c>
      <c r="G503" s="1" t="s">
        <v>31</v>
      </c>
      <c r="H503" s="1">
        <v>3</v>
      </c>
      <c r="I503" s="1">
        <f>Table1[[#This Row],[Units_Sold]]*Table1[[#This Row],[Unit_Price]]</f>
        <v>268.59000000000003</v>
      </c>
      <c r="J503" s="1">
        <v>89.53</v>
      </c>
      <c r="K503" s="1">
        <v>0</v>
      </c>
      <c r="L503" s="1">
        <v>268.58999999999997</v>
      </c>
      <c r="M503" s="1">
        <v>86.24</v>
      </c>
      <c r="N503" s="1">
        <v>19</v>
      </c>
      <c r="O503" s="1" t="s">
        <v>19</v>
      </c>
      <c r="P503" s="1" t="s">
        <v>32</v>
      </c>
    </row>
    <row r="504" spans="1:16" x14ac:dyDescent="0.3">
      <c r="A504" s="1">
        <v>100554</v>
      </c>
      <c r="B504" s="2">
        <v>45218</v>
      </c>
      <c r="C504" s="1" t="s">
        <v>551</v>
      </c>
      <c r="D504" s="1" t="s">
        <v>100</v>
      </c>
      <c r="E504" s="1" t="s">
        <v>25</v>
      </c>
      <c r="F504" s="1" t="s">
        <v>1241</v>
      </c>
      <c r="G504" s="1" t="s">
        <v>48</v>
      </c>
      <c r="H504" s="1">
        <v>3</v>
      </c>
      <c r="I504" s="1">
        <f>Table1[[#This Row],[Units_Sold]]*Table1[[#This Row],[Unit_Price]]</f>
        <v>333.21</v>
      </c>
      <c r="J504" s="1">
        <v>111.07</v>
      </c>
      <c r="K504" s="1">
        <v>10</v>
      </c>
      <c r="L504" s="1">
        <v>299.89</v>
      </c>
      <c r="M504" s="1">
        <v>94.02</v>
      </c>
      <c r="N504" s="1">
        <v>20</v>
      </c>
      <c r="O504" s="1" t="s">
        <v>26</v>
      </c>
      <c r="P504" s="1" t="s">
        <v>51</v>
      </c>
    </row>
    <row r="505" spans="1:16" x14ac:dyDescent="0.3">
      <c r="A505" s="1">
        <v>101079</v>
      </c>
      <c r="B505" s="2">
        <v>45151</v>
      </c>
      <c r="C505" s="1" t="s">
        <v>552</v>
      </c>
      <c r="D505" s="1" t="s">
        <v>62</v>
      </c>
      <c r="E505" s="1" t="s">
        <v>17</v>
      </c>
      <c r="F505" s="1" t="s">
        <v>1237</v>
      </c>
      <c r="G505" s="1" t="s">
        <v>31</v>
      </c>
      <c r="H505" s="1">
        <v>2</v>
      </c>
      <c r="I505" s="1">
        <f>Table1[[#This Row],[Units_Sold]]*Table1[[#This Row],[Unit_Price]]</f>
        <v>268.52</v>
      </c>
      <c r="J505" s="1">
        <v>134.26</v>
      </c>
      <c r="K505" s="1">
        <v>20</v>
      </c>
      <c r="L505" s="1">
        <v>214.82</v>
      </c>
      <c r="M505" s="1">
        <v>72.61</v>
      </c>
      <c r="N505" s="1">
        <v>24</v>
      </c>
      <c r="O505" s="1" t="s">
        <v>19</v>
      </c>
      <c r="P505" s="1" t="s">
        <v>46</v>
      </c>
    </row>
    <row r="506" spans="1:16" x14ac:dyDescent="0.3">
      <c r="A506" s="1">
        <v>101061</v>
      </c>
      <c r="B506" s="2">
        <v>45364</v>
      </c>
      <c r="C506" s="1" t="s">
        <v>553</v>
      </c>
      <c r="D506" s="1" t="s">
        <v>62</v>
      </c>
      <c r="E506" s="1" t="s">
        <v>17</v>
      </c>
      <c r="F506" s="1" t="s">
        <v>1237</v>
      </c>
      <c r="G506" s="1" t="s">
        <v>18</v>
      </c>
      <c r="H506" s="1">
        <v>4</v>
      </c>
      <c r="I506" s="1">
        <f>Table1[[#This Row],[Units_Sold]]*Table1[[#This Row],[Unit_Price]]</f>
        <v>453</v>
      </c>
      <c r="J506" s="1">
        <v>113.25</v>
      </c>
      <c r="K506" s="1">
        <v>10</v>
      </c>
      <c r="L506" s="1">
        <v>407.7</v>
      </c>
      <c r="M506" s="1">
        <v>125.19</v>
      </c>
      <c r="N506" s="1">
        <v>26</v>
      </c>
      <c r="O506" s="1" t="s">
        <v>19</v>
      </c>
      <c r="P506" s="1" t="s">
        <v>32</v>
      </c>
    </row>
    <row r="507" spans="1:16" x14ac:dyDescent="0.3">
      <c r="A507" s="1">
        <v>100350</v>
      </c>
      <c r="B507" s="2">
        <v>45180</v>
      </c>
      <c r="C507" s="1" t="s">
        <v>554</v>
      </c>
      <c r="D507" s="1" t="s">
        <v>37</v>
      </c>
      <c r="E507" s="1" t="s">
        <v>17</v>
      </c>
      <c r="F507" s="1" t="s">
        <v>1237</v>
      </c>
      <c r="G507" s="1" t="s">
        <v>48</v>
      </c>
      <c r="H507" s="1">
        <v>6</v>
      </c>
      <c r="I507" s="1">
        <f>Table1[[#This Row],[Units_Sold]]*Table1[[#This Row],[Unit_Price]]</f>
        <v>453.59999999999997</v>
      </c>
      <c r="J507" s="1">
        <v>75.599999999999994</v>
      </c>
      <c r="K507" s="1">
        <v>40</v>
      </c>
      <c r="L507" s="1">
        <v>272.16000000000003</v>
      </c>
      <c r="M507" s="1">
        <v>65.25</v>
      </c>
      <c r="N507" s="1">
        <v>36</v>
      </c>
      <c r="O507" s="1" t="s">
        <v>26</v>
      </c>
      <c r="P507" s="1" t="s">
        <v>51</v>
      </c>
    </row>
    <row r="508" spans="1:16" x14ac:dyDescent="0.3">
      <c r="A508" s="1">
        <v>100196</v>
      </c>
      <c r="B508" s="2">
        <v>45001</v>
      </c>
      <c r="C508" s="1" t="s">
        <v>555</v>
      </c>
      <c r="D508" s="1" t="s">
        <v>70</v>
      </c>
      <c r="E508" s="1" t="s">
        <v>25</v>
      </c>
      <c r="F508" s="1" t="s">
        <v>1238</v>
      </c>
      <c r="G508" s="1" t="s">
        <v>31</v>
      </c>
      <c r="H508" s="1">
        <v>3</v>
      </c>
      <c r="I508" s="1">
        <f>Table1[[#This Row],[Units_Sold]]*Table1[[#This Row],[Unit_Price]]</f>
        <v>483.57</v>
      </c>
      <c r="J508" s="1">
        <v>161.19</v>
      </c>
      <c r="K508" s="1">
        <v>20</v>
      </c>
      <c r="L508" s="1">
        <v>386.86</v>
      </c>
      <c r="M508" s="1">
        <v>132.94999999999999</v>
      </c>
      <c r="N508" s="1">
        <v>31</v>
      </c>
      <c r="O508" s="1" t="s">
        <v>26</v>
      </c>
      <c r="P508" s="1" t="s">
        <v>35</v>
      </c>
    </row>
    <row r="509" spans="1:16" x14ac:dyDescent="0.3">
      <c r="A509" s="1">
        <v>100464</v>
      </c>
      <c r="B509" s="2">
        <v>45788</v>
      </c>
      <c r="C509" s="1" t="s">
        <v>556</v>
      </c>
      <c r="D509" s="1" t="s">
        <v>22</v>
      </c>
      <c r="E509" s="1" t="s">
        <v>17</v>
      </c>
      <c r="F509" s="1" t="s">
        <v>1241</v>
      </c>
      <c r="G509" s="1" t="s">
        <v>31</v>
      </c>
      <c r="H509" s="1">
        <v>3</v>
      </c>
      <c r="I509" s="1">
        <f>Table1[[#This Row],[Units_Sold]]*Table1[[#This Row],[Unit_Price]]</f>
        <v>81.63</v>
      </c>
      <c r="J509" s="1">
        <v>27.21</v>
      </c>
      <c r="K509" s="1">
        <v>0</v>
      </c>
      <c r="L509" s="1">
        <v>81.63</v>
      </c>
      <c r="M509" s="1">
        <v>26</v>
      </c>
      <c r="N509" s="1">
        <v>25</v>
      </c>
      <c r="O509" s="1" t="s">
        <v>26</v>
      </c>
      <c r="P509" s="1" t="s">
        <v>27</v>
      </c>
    </row>
    <row r="510" spans="1:16" x14ac:dyDescent="0.3">
      <c r="A510" s="1">
        <v>100588</v>
      </c>
      <c r="B510" s="2">
        <v>45359</v>
      </c>
      <c r="C510" s="1" t="s">
        <v>557</v>
      </c>
      <c r="D510" s="1" t="s">
        <v>16</v>
      </c>
      <c r="E510" s="1" t="s">
        <v>17</v>
      </c>
      <c r="F510" s="1" t="s">
        <v>1241</v>
      </c>
      <c r="G510" s="1" t="s">
        <v>31</v>
      </c>
      <c r="H510" s="1">
        <v>4</v>
      </c>
      <c r="I510" s="1">
        <f>Table1[[#This Row],[Units_Sold]]*Table1[[#This Row],[Unit_Price]]</f>
        <v>209.6</v>
      </c>
      <c r="J510" s="1">
        <v>52.4</v>
      </c>
      <c r="K510" s="1">
        <v>0</v>
      </c>
      <c r="L510" s="1">
        <v>209.6</v>
      </c>
      <c r="M510" s="1">
        <v>66.930000000000007</v>
      </c>
      <c r="N510" s="1">
        <v>16</v>
      </c>
      <c r="O510" s="1" t="s">
        <v>26</v>
      </c>
      <c r="P510" s="1" t="s">
        <v>46</v>
      </c>
    </row>
    <row r="511" spans="1:16" x14ac:dyDescent="0.3">
      <c r="A511" s="1">
        <v>100005</v>
      </c>
      <c r="B511" s="2">
        <v>44973</v>
      </c>
      <c r="C511" s="1" t="s">
        <v>558</v>
      </c>
      <c r="D511" s="1" t="s">
        <v>37</v>
      </c>
      <c r="E511" s="1" t="s">
        <v>17</v>
      </c>
      <c r="F511" s="1" t="s">
        <v>1240</v>
      </c>
      <c r="G511" s="1" t="s">
        <v>48</v>
      </c>
      <c r="H511" s="1">
        <v>1</v>
      </c>
      <c r="I511" s="1">
        <f>Table1[[#This Row],[Units_Sold]]*Table1[[#This Row],[Unit_Price]]</f>
        <v>72.099999999999994</v>
      </c>
      <c r="J511" s="1">
        <v>72.099999999999994</v>
      </c>
      <c r="K511" s="1">
        <v>0</v>
      </c>
      <c r="L511" s="1">
        <v>72.099999999999994</v>
      </c>
      <c r="M511" s="1">
        <v>17.59</v>
      </c>
      <c r="N511" s="1">
        <v>37</v>
      </c>
      <c r="O511" s="1" t="s">
        <v>19</v>
      </c>
      <c r="P511" s="1" t="s">
        <v>32</v>
      </c>
    </row>
    <row r="512" spans="1:16" x14ac:dyDescent="0.3">
      <c r="A512" s="1">
        <v>100310</v>
      </c>
      <c r="B512" s="2">
        <v>44928</v>
      </c>
      <c r="C512" s="1" t="s">
        <v>559</v>
      </c>
      <c r="D512" s="1" t="s">
        <v>73</v>
      </c>
      <c r="E512" s="1" t="s">
        <v>25</v>
      </c>
      <c r="F512" s="1" t="s">
        <v>1241</v>
      </c>
      <c r="G512" s="1" t="s">
        <v>18</v>
      </c>
      <c r="H512" s="1">
        <v>5</v>
      </c>
      <c r="I512" s="1">
        <f>Table1[[#This Row],[Units_Sold]]*Table1[[#This Row],[Unit_Price]]</f>
        <v>181.8</v>
      </c>
      <c r="J512" s="1">
        <v>36.36</v>
      </c>
      <c r="K512" s="1">
        <v>5</v>
      </c>
      <c r="L512" s="1">
        <v>172.71</v>
      </c>
      <c r="M512" s="1">
        <v>44.5</v>
      </c>
      <c r="N512" s="1">
        <v>25</v>
      </c>
      <c r="O512" s="1" t="s">
        <v>19</v>
      </c>
      <c r="P512" s="1" t="s">
        <v>81</v>
      </c>
    </row>
    <row r="513" spans="1:16" x14ac:dyDescent="0.3">
      <c r="A513" s="1">
        <v>100661</v>
      </c>
      <c r="B513" s="2">
        <v>45882</v>
      </c>
      <c r="C513" s="1" t="s">
        <v>560</v>
      </c>
      <c r="D513" s="1" t="s">
        <v>70</v>
      </c>
      <c r="E513" s="1" t="s">
        <v>25</v>
      </c>
      <c r="F513" s="1" t="s">
        <v>1241</v>
      </c>
      <c r="G513" s="1" t="s">
        <v>31</v>
      </c>
      <c r="H513" s="1">
        <v>3</v>
      </c>
      <c r="I513" s="1">
        <f>Table1[[#This Row],[Units_Sold]]*Table1[[#This Row],[Unit_Price]]</f>
        <v>427.53</v>
      </c>
      <c r="J513" s="1">
        <v>142.51</v>
      </c>
      <c r="K513" s="1">
        <v>0</v>
      </c>
      <c r="L513" s="1">
        <v>427.53</v>
      </c>
      <c r="M513" s="1">
        <v>157.68</v>
      </c>
      <c r="N513" s="1">
        <v>32</v>
      </c>
      <c r="O513" s="1" t="s">
        <v>19</v>
      </c>
      <c r="P513" s="1" t="s">
        <v>81</v>
      </c>
    </row>
    <row r="514" spans="1:16" x14ac:dyDescent="0.3">
      <c r="A514" s="1">
        <v>100404</v>
      </c>
      <c r="B514" s="2">
        <v>45770</v>
      </c>
      <c r="C514" s="1" t="s">
        <v>561</v>
      </c>
      <c r="D514" s="1" t="s">
        <v>70</v>
      </c>
      <c r="E514" s="1" t="s">
        <v>25</v>
      </c>
      <c r="F514" s="1" t="s">
        <v>1241</v>
      </c>
      <c r="G514" s="1" t="s">
        <v>31</v>
      </c>
      <c r="H514" s="1">
        <v>2</v>
      </c>
      <c r="I514" s="1">
        <f>Table1[[#This Row],[Units_Sold]]*Table1[[#This Row],[Unit_Price]]</f>
        <v>294.64</v>
      </c>
      <c r="J514" s="1">
        <v>147.32</v>
      </c>
      <c r="K514" s="1">
        <v>5</v>
      </c>
      <c r="L514" s="1">
        <v>279.91000000000003</v>
      </c>
      <c r="M514" s="1">
        <v>104.82</v>
      </c>
      <c r="N514" s="1">
        <v>29</v>
      </c>
      <c r="O514" s="1" t="s">
        <v>19</v>
      </c>
      <c r="P514" s="1" t="s">
        <v>43</v>
      </c>
    </row>
    <row r="515" spans="1:16" x14ac:dyDescent="0.3">
      <c r="A515" s="1">
        <v>101195</v>
      </c>
      <c r="B515" s="2">
        <v>44965</v>
      </c>
      <c r="C515" s="1" t="s">
        <v>562</v>
      </c>
      <c r="D515" s="1" t="s">
        <v>24</v>
      </c>
      <c r="E515" s="1" t="s">
        <v>25</v>
      </c>
      <c r="F515" s="1" t="s">
        <v>1238</v>
      </c>
      <c r="G515" s="1" t="s">
        <v>31</v>
      </c>
      <c r="H515" s="1">
        <v>2</v>
      </c>
      <c r="I515" s="1">
        <f>Table1[[#This Row],[Units_Sold]]*Table1[[#This Row],[Unit_Price]]</f>
        <v>155.02000000000001</v>
      </c>
      <c r="J515" s="1">
        <v>77.510000000000005</v>
      </c>
      <c r="K515" s="1">
        <v>5</v>
      </c>
      <c r="L515" s="1">
        <v>147.27000000000001</v>
      </c>
      <c r="M515" s="1">
        <v>42.27</v>
      </c>
      <c r="N515" s="1">
        <v>28</v>
      </c>
      <c r="O515" s="1" t="s">
        <v>26</v>
      </c>
      <c r="P515" s="1" t="s">
        <v>35</v>
      </c>
    </row>
    <row r="516" spans="1:16" x14ac:dyDescent="0.3">
      <c r="A516" s="1">
        <v>101043</v>
      </c>
      <c r="B516" s="2">
        <v>45571</v>
      </c>
      <c r="C516" s="1" t="s">
        <v>38</v>
      </c>
      <c r="D516" s="1" t="s">
        <v>87</v>
      </c>
      <c r="E516" s="1" t="s">
        <v>25</v>
      </c>
      <c r="F516" s="1" t="s">
        <v>1241</v>
      </c>
      <c r="G516" s="1" t="s">
        <v>18</v>
      </c>
      <c r="H516" s="1">
        <v>2</v>
      </c>
      <c r="I516" s="1">
        <f>Table1[[#This Row],[Units_Sold]]*Table1[[#This Row],[Unit_Price]]</f>
        <v>169.88</v>
      </c>
      <c r="J516" s="1">
        <v>84.94</v>
      </c>
      <c r="K516" s="1">
        <v>0</v>
      </c>
      <c r="L516" s="1">
        <v>169.88</v>
      </c>
      <c r="M516" s="1">
        <v>67.75</v>
      </c>
      <c r="N516" s="1">
        <v>21</v>
      </c>
      <c r="O516" s="1" t="s">
        <v>19</v>
      </c>
      <c r="P516" s="1" t="s">
        <v>81</v>
      </c>
    </row>
    <row r="517" spans="1:16" x14ac:dyDescent="0.3">
      <c r="A517" s="1">
        <v>101057</v>
      </c>
      <c r="B517" s="2">
        <v>45715</v>
      </c>
      <c r="C517" s="1" t="s">
        <v>563</v>
      </c>
      <c r="D517" s="1" t="s">
        <v>24</v>
      </c>
      <c r="E517" s="1" t="s">
        <v>25</v>
      </c>
      <c r="F517" s="1" t="s">
        <v>1240</v>
      </c>
      <c r="G517" s="1" t="s">
        <v>31</v>
      </c>
      <c r="H517" s="1">
        <v>3</v>
      </c>
      <c r="I517" s="1">
        <f>Table1[[#This Row],[Units_Sold]]*Table1[[#This Row],[Unit_Price]]</f>
        <v>257.13</v>
      </c>
      <c r="J517" s="1">
        <v>85.71</v>
      </c>
      <c r="K517" s="1">
        <v>40</v>
      </c>
      <c r="L517" s="1">
        <v>154.28</v>
      </c>
      <c r="M517" s="1">
        <v>45.27</v>
      </c>
      <c r="N517" s="1">
        <v>39</v>
      </c>
      <c r="O517" s="1" t="s">
        <v>19</v>
      </c>
      <c r="P517" s="1" t="s">
        <v>81</v>
      </c>
    </row>
    <row r="518" spans="1:16" x14ac:dyDescent="0.3">
      <c r="A518" s="1">
        <v>100104</v>
      </c>
      <c r="B518" s="2">
        <v>45551</v>
      </c>
      <c r="C518" s="1" t="s">
        <v>564</v>
      </c>
      <c r="D518" s="1" t="s">
        <v>62</v>
      </c>
      <c r="E518" s="1" t="s">
        <v>17</v>
      </c>
      <c r="F518" s="1" t="s">
        <v>1241</v>
      </c>
      <c r="G518" s="1" t="s">
        <v>48</v>
      </c>
      <c r="H518" s="1">
        <v>1</v>
      </c>
      <c r="I518" s="1">
        <f>Table1[[#This Row],[Units_Sold]]*Table1[[#This Row],[Unit_Price]]</f>
        <v>138.34</v>
      </c>
      <c r="J518" s="1">
        <v>138.34</v>
      </c>
      <c r="K518" s="1">
        <v>0</v>
      </c>
      <c r="L518" s="1">
        <v>138.34</v>
      </c>
      <c r="M518" s="1">
        <v>35.35</v>
      </c>
      <c r="N518" s="1">
        <v>38</v>
      </c>
      <c r="O518" s="1" t="s">
        <v>26</v>
      </c>
      <c r="P518" s="1" t="s">
        <v>46</v>
      </c>
    </row>
    <row r="519" spans="1:16" x14ac:dyDescent="0.3">
      <c r="A519" s="1">
        <v>100536</v>
      </c>
      <c r="B519" s="2">
        <v>45575</v>
      </c>
      <c r="C519" s="1" t="s">
        <v>565</v>
      </c>
      <c r="D519" s="1" t="s">
        <v>34</v>
      </c>
      <c r="E519" s="1" t="s">
        <v>30</v>
      </c>
      <c r="F519" s="1" t="s">
        <v>1241</v>
      </c>
      <c r="G519" s="1" t="s">
        <v>18</v>
      </c>
      <c r="H519" s="1">
        <v>2</v>
      </c>
      <c r="I519" s="1">
        <f>Table1[[#This Row],[Units_Sold]]*Table1[[#This Row],[Unit_Price]]</f>
        <v>133</v>
      </c>
      <c r="J519" s="1">
        <v>66.5</v>
      </c>
      <c r="K519" s="1">
        <v>5</v>
      </c>
      <c r="L519" s="1">
        <v>126.35</v>
      </c>
      <c r="M519" s="1">
        <v>47.79</v>
      </c>
      <c r="N519" s="1">
        <v>24</v>
      </c>
      <c r="O519" s="1" t="s">
        <v>26</v>
      </c>
      <c r="P519" s="1" t="s">
        <v>51</v>
      </c>
    </row>
    <row r="520" spans="1:16" x14ac:dyDescent="0.3">
      <c r="A520" s="1">
        <v>100605</v>
      </c>
      <c r="B520" s="2">
        <v>45500</v>
      </c>
      <c r="C520" s="1" t="s">
        <v>566</v>
      </c>
      <c r="D520" s="1" t="s">
        <v>73</v>
      </c>
      <c r="E520" s="1" t="s">
        <v>25</v>
      </c>
      <c r="F520" s="1" t="s">
        <v>1241</v>
      </c>
      <c r="G520" s="1" t="s">
        <v>18</v>
      </c>
      <c r="H520" s="1">
        <v>1</v>
      </c>
      <c r="I520" s="1">
        <f>Table1[[#This Row],[Units_Sold]]*Table1[[#This Row],[Unit_Price]]</f>
        <v>34.1</v>
      </c>
      <c r="J520" s="1">
        <v>34.1</v>
      </c>
      <c r="K520" s="1">
        <v>10</v>
      </c>
      <c r="L520" s="1">
        <v>30.69</v>
      </c>
      <c r="M520" s="1">
        <v>7.56</v>
      </c>
      <c r="N520" s="1">
        <v>45</v>
      </c>
      <c r="O520" s="1" t="s">
        <v>19</v>
      </c>
      <c r="P520" s="1" t="s">
        <v>20</v>
      </c>
    </row>
    <row r="521" spans="1:16" x14ac:dyDescent="0.3">
      <c r="A521" s="1">
        <v>100062</v>
      </c>
      <c r="B521" s="2">
        <v>45699</v>
      </c>
      <c r="C521" s="1" t="s">
        <v>567</v>
      </c>
      <c r="D521" s="1" t="s">
        <v>39</v>
      </c>
      <c r="E521" s="1" t="s">
        <v>25</v>
      </c>
      <c r="F521" s="1" t="s">
        <v>1241</v>
      </c>
      <c r="G521" s="1" t="s">
        <v>18</v>
      </c>
      <c r="H521" s="1">
        <v>3</v>
      </c>
      <c r="I521" s="1">
        <f>Table1[[#This Row],[Units_Sold]]*Table1[[#This Row],[Unit_Price]]</f>
        <v>449.70000000000005</v>
      </c>
      <c r="J521" s="1">
        <v>149.9</v>
      </c>
      <c r="K521" s="1">
        <v>0</v>
      </c>
      <c r="L521" s="1">
        <v>449.7</v>
      </c>
      <c r="M521" s="1">
        <v>174.72</v>
      </c>
      <c r="N521" s="1">
        <v>33</v>
      </c>
      <c r="O521" s="1" t="s">
        <v>26</v>
      </c>
      <c r="P521" s="1" t="s">
        <v>35</v>
      </c>
    </row>
    <row r="522" spans="1:16" x14ac:dyDescent="0.3">
      <c r="A522" s="1">
        <v>100281</v>
      </c>
      <c r="B522" s="2">
        <v>45035</v>
      </c>
      <c r="C522" s="1" t="s">
        <v>568</v>
      </c>
      <c r="D522" s="1" t="s">
        <v>39</v>
      </c>
      <c r="E522" s="1" t="s">
        <v>25</v>
      </c>
      <c r="F522" s="1" t="s">
        <v>1241</v>
      </c>
      <c r="G522" s="1" t="s">
        <v>31</v>
      </c>
      <c r="H522" s="1">
        <v>4</v>
      </c>
      <c r="I522" s="1">
        <f>Table1[[#This Row],[Units_Sold]]*Table1[[#This Row],[Unit_Price]]</f>
        <v>698.52</v>
      </c>
      <c r="J522" s="1">
        <v>174.63</v>
      </c>
      <c r="K522" s="1">
        <v>10</v>
      </c>
      <c r="L522" s="1">
        <v>628.66999999999996</v>
      </c>
      <c r="M522" s="1">
        <v>195.66</v>
      </c>
      <c r="N522" s="1">
        <v>37</v>
      </c>
      <c r="O522" s="1" t="s">
        <v>19</v>
      </c>
      <c r="P522" s="1" t="s">
        <v>51</v>
      </c>
    </row>
    <row r="523" spans="1:16" x14ac:dyDescent="0.3">
      <c r="A523" s="1">
        <v>101055</v>
      </c>
      <c r="B523" s="2">
        <v>44998</v>
      </c>
      <c r="C523" s="1" t="s">
        <v>569</v>
      </c>
      <c r="D523" s="1" t="s">
        <v>68</v>
      </c>
      <c r="E523" s="1" t="s">
        <v>25</v>
      </c>
      <c r="F523" s="1" t="s">
        <v>1241</v>
      </c>
      <c r="G523" s="1" t="s">
        <v>48</v>
      </c>
      <c r="H523" s="1">
        <v>1</v>
      </c>
      <c r="I523" s="1">
        <f>Table1[[#This Row],[Units_Sold]]*Table1[[#This Row],[Unit_Price]]</f>
        <v>230.24</v>
      </c>
      <c r="J523" s="1">
        <v>230.24</v>
      </c>
      <c r="K523" s="1">
        <v>10</v>
      </c>
      <c r="L523" s="1">
        <v>207.22</v>
      </c>
      <c r="M523" s="1">
        <v>70.31</v>
      </c>
      <c r="N523" s="1">
        <v>25</v>
      </c>
      <c r="O523" s="1" t="s">
        <v>19</v>
      </c>
      <c r="P523" s="1" t="s">
        <v>27</v>
      </c>
    </row>
    <row r="524" spans="1:16" x14ac:dyDescent="0.3">
      <c r="A524" s="1">
        <v>100238</v>
      </c>
      <c r="B524" s="2">
        <v>45886</v>
      </c>
      <c r="C524" s="1" t="s">
        <v>424</v>
      </c>
      <c r="D524" s="1" t="s">
        <v>87</v>
      </c>
      <c r="E524" s="1" t="s">
        <v>25</v>
      </c>
      <c r="F524" s="1" t="s">
        <v>1237</v>
      </c>
      <c r="G524" s="1" t="s">
        <v>31</v>
      </c>
      <c r="H524" s="1">
        <v>4</v>
      </c>
      <c r="I524" s="1">
        <f>Table1[[#This Row],[Units_Sold]]*Table1[[#This Row],[Unit_Price]]</f>
        <v>346.36</v>
      </c>
      <c r="J524" s="1">
        <v>86.59</v>
      </c>
      <c r="K524" s="1">
        <v>10</v>
      </c>
      <c r="L524" s="1">
        <v>311.72000000000003</v>
      </c>
      <c r="M524" s="1">
        <v>69.27</v>
      </c>
      <c r="N524" s="1">
        <v>39</v>
      </c>
      <c r="O524" s="1" t="s">
        <v>19</v>
      </c>
      <c r="P524" s="1" t="s">
        <v>81</v>
      </c>
    </row>
    <row r="525" spans="1:16" x14ac:dyDescent="0.3">
      <c r="A525" s="1">
        <v>100223</v>
      </c>
      <c r="B525" s="2">
        <v>45265</v>
      </c>
      <c r="C525" s="1" t="s">
        <v>570</v>
      </c>
      <c r="D525" s="1" t="s">
        <v>42</v>
      </c>
      <c r="E525" s="1" t="s">
        <v>25</v>
      </c>
      <c r="F525" s="1" t="s">
        <v>1237</v>
      </c>
      <c r="G525" s="1" t="s">
        <v>31</v>
      </c>
      <c r="H525" s="1">
        <v>1</v>
      </c>
      <c r="I525" s="1">
        <f>Table1[[#This Row],[Units_Sold]]*Table1[[#This Row],[Unit_Price]]</f>
        <v>167.08</v>
      </c>
      <c r="J525" s="1">
        <v>167.08</v>
      </c>
      <c r="K525" s="1">
        <v>0</v>
      </c>
      <c r="L525" s="1">
        <v>167.08</v>
      </c>
      <c r="M525" s="1">
        <v>35.979999999999997</v>
      </c>
      <c r="N525" s="1">
        <v>29</v>
      </c>
      <c r="O525" s="1" t="s">
        <v>26</v>
      </c>
      <c r="P525" s="1" t="s">
        <v>43</v>
      </c>
    </row>
    <row r="526" spans="1:16" x14ac:dyDescent="0.3">
      <c r="A526" s="1">
        <v>100145</v>
      </c>
      <c r="B526" s="2">
        <v>45268</v>
      </c>
      <c r="C526" s="1" t="s">
        <v>571</v>
      </c>
      <c r="D526" s="1" t="s">
        <v>42</v>
      </c>
      <c r="E526" s="1" t="s">
        <v>25</v>
      </c>
      <c r="F526" s="1" t="s">
        <v>1237</v>
      </c>
      <c r="G526" s="1" t="s">
        <v>31</v>
      </c>
      <c r="H526" s="1">
        <v>4</v>
      </c>
      <c r="I526" s="1">
        <f>Table1[[#This Row],[Units_Sold]]*Table1[[#This Row],[Unit_Price]]</f>
        <v>622.84</v>
      </c>
      <c r="J526" s="1">
        <v>155.71</v>
      </c>
      <c r="K526" s="1">
        <v>10</v>
      </c>
      <c r="L526" s="1">
        <v>560.55999999999995</v>
      </c>
      <c r="M526" s="1">
        <v>182.17</v>
      </c>
      <c r="N526" s="1">
        <v>34</v>
      </c>
      <c r="O526" s="1" t="s">
        <v>26</v>
      </c>
      <c r="P526" s="1" t="s">
        <v>43</v>
      </c>
    </row>
    <row r="527" spans="1:16" x14ac:dyDescent="0.3">
      <c r="A527" s="1">
        <v>101118</v>
      </c>
      <c r="B527" s="2">
        <v>45135</v>
      </c>
      <c r="C527" s="1" t="s">
        <v>572</v>
      </c>
      <c r="D527" s="1" t="s">
        <v>24</v>
      </c>
      <c r="E527" s="1" t="s">
        <v>25</v>
      </c>
      <c r="F527" s="1" t="s">
        <v>1238</v>
      </c>
      <c r="G527" s="1" t="s">
        <v>31</v>
      </c>
      <c r="H527" s="1">
        <v>5</v>
      </c>
      <c r="I527" s="1">
        <f>Table1[[#This Row],[Units_Sold]]*Table1[[#This Row],[Unit_Price]]</f>
        <v>476.34999999999997</v>
      </c>
      <c r="J527" s="1">
        <v>95.27</v>
      </c>
      <c r="K527" s="1">
        <v>10</v>
      </c>
      <c r="L527" s="1">
        <v>428.71</v>
      </c>
      <c r="M527" s="1">
        <v>99.13</v>
      </c>
      <c r="N527" s="1">
        <v>30</v>
      </c>
      <c r="O527" s="1" t="s">
        <v>19</v>
      </c>
      <c r="P527" s="1" t="s">
        <v>81</v>
      </c>
    </row>
    <row r="528" spans="1:16" x14ac:dyDescent="0.3">
      <c r="A528" s="1">
        <v>100373</v>
      </c>
      <c r="B528" s="2">
        <v>45104</v>
      </c>
      <c r="C528" s="1" t="s">
        <v>573</v>
      </c>
      <c r="D528" s="1" t="s">
        <v>42</v>
      </c>
      <c r="E528" s="1" t="s">
        <v>25</v>
      </c>
      <c r="F528" s="1" t="s">
        <v>1237</v>
      </c>
      <c r="G528" s="1" t="s">
        <v>18</v>
      </c>
      <c r="H528" s="1">
        <v>1</v>
      </c>
      <c r="I528" s="1">
        <f>Table1[[#This Row],[Units_Sold]]*Table1[[#This Row],[Unit_Price]]</f>
        <v>170.96</v>
      </c>
      <c r="J528" s="1">
        <v>170.96</v>
      </c>
      <c r="K528" s="1">
        <v>0</v>
      </c>
      <c r="L528" s="1">
        <v>170.96</v>
      </c>
      <c r="M528" s="1">
        <v>57.49</v>
      </c>
      <c r="N528" s="1">
        <v>34</v>
      </c>
      <c r="O528" s="1" t="s">
        <v>26</v>
      </c>
      <c r="P528" s="1" t="s">
        <v>32</v>
      </c>
    </row>
    <row r="529" spans="1:16" x14ac:dyDescent="0.3">
      <c r="A529" s="1">
        <v>100118</v>
      </c>
      <c r="B529" s="2">
        <v>45597</v>
      </c>
      <c r="C529" s="1" t="s">
        <v>574</v>
      </c>
      <c r="D529" s="1" t="s">
        <v>87</v>
      </c>
      <c r="E529" s="1" t="s">
        <v>25</v>
      </c>
      <c r="F529" s="1" t="s">
        <v>1237</v>
      </c>
      <c r="G529" s="1" t="s">
        <v>64</v>
      </c>
      <c r="H529" s="1">
        <v>7</v>
      </c>
      <c r="I529" s="1">
        <f>Table1[[#This Row],[Units_Sold]]*Table1[[#This Row],[Unit_Price]]</f>
        <v>585.34</v>
      </c>
      <c r="J529" s="1">
        <v>83.62</v>
      </c>
      <c r="K529" s="1">
        <v>0</v>
      </c>
      <c r="L529" s="1">
        <v>585.34</v>
      </c>
      <c r="M529" s="1">
        <v>176.98</v>
      </c>
      <c r="N529" s="1">
        <v>45</v>
      </c>
      <c r="O529" s="1" t="s">
        <v>26</v>
      </c>
      <c r="P529" s="1" t="s">
        <v>43</v>
      </c>
    </row>
    <row r="530" spans="1:16" x14ac:dyDescent="0.3">
      <c r="A530" s="1">
        <v>100802</v>
      </c>
      <c r="B530" s="2">
        <v>45852</v>
      </c>
      <c r="C530" s="1" t="s">
        <v>575</v>
      </c>
      <c r="D530" s="1" t="s">
        <v>100</v>
      </c>
      <c r="E530" s="1" t="s">
        <v>25</v>
      </c>
      <c r="F530" s="1" t="s">
        <v>1237</v>
      </c>
      <c r="G530" s="1" t="s">
        <v>48</v>
      </c>
      <c r="H530" s="1">
        <v>1</v>
      </c>
      <c r="I530" s="1">
        <f>Table1[[#This Row],[Units_Sold]]*Table1[[#This Row],[Unit_Price]]</f>
        <v>132.72999999999999</v>
      </c>
      <c r="J530" s="1">
        <v>132.72999999999999</v>
      </c>
      <c r="K530" s="1">
        <v>10</v>
      </c>
      <c r="L530" s="1">
        <v>119.46</v>
      </c>
      <c r="M530" s="1">
        <v>32.19</v>
      </c>
      <c r="N530" s="1">
        <v>42</v>
      </c>
      <c r="O530" s="1" t="s">
        <v>26</v>
      </c>
      <c r="P530" s="1" t="s">
        <v>46</v>
      </c>
    </row>
    <row r="531" spans="1:16" x14ac:dyDescent="0.3">
      <c r="A531" s="1">
        <v>100250</v>
      </c>
      <c r="B531" s="2">
        <v>45295</v>
      </c>
      <c r="C531" s="1" t="s">
        <v>576</v>
      </c>
      <c r="D531" s="1" t="s">
        <v>56</v>
      </c>
      <c r="E531" s="1" t="s">
        <v>30</v>
      </c>
      <c r="F531" s="1" t="s">
        <v>1238</v>
      </c>
      <c r="G531" s="1" t="s">
        <v>48</v>
      </c>
      <c r="H531" s="1">
        <v>3</v>
      </c>
      <c r="I531" s="1">
        <f>Table1[[#This Row],[Units_Sold]]*Table1[[#This Row],[Unit_Price]]</f>
        <v>134.25</v>
      </c>
      <c r="J531" s="1">
        <v>44.75</v>
      </c>
      <c r="K531" s="1">
        <v>0</v>
      </c>
      <c r="L531" s="1">
        <v>134.25</v>
      </c>
      <c r="M531" s="1">
        <v>48.87</v>
      </c>
      <c r="N531" s="1">
        <v>32</v>
      </c>
      <c r="O531" s="1" t="s">
        <v>19</v>
      </c>
      <c r="P531" s="1" t="s">
        <v>43</v>
      </c>
    </row>
    <row r="532" spans="1:16" x14ac:dyDescent="0.3">
      <c r="A532" s="1">
        <v>101156</v>
      </c>
      <c r="B532" s="2">
        <v>45209</v>
      </c>
      <c r="C532" s="1" t="s">
        <v>577</v>
      </c>
      <c r="D532" s="1" t="s">
        <v>37</v>
      </c>
      <c r="E532" s="1" t="s">
        <v>17</v>
      </c>
      <c r="F532" s="1" t="s">
        <v>1237</v>
      </c>
      <c r="G532" s="1" t="s">
        <v>18</v>
      </c>
      <c r="H532" s="1">
        <v>4</v>
      </c>
      <c r="I532" s="1">
        <f>Table1[[#This Row],[Units_Sold]]*Table1[[#This Row],[Unit_Price]]</f>
        <v>251.96</v>
      </c>
      <c r="J532" s="1">
        <v>62.99</v>
      </c>
      <c r="K532" s="1">
        <v>0</v>
      </c>
      <c r="L532" s="1">
        <v>251.96</v>
      </c>
      <c r="M532" s="1">
        <v>47.38</v>
      </c>
      <c r="N532" s="1">
        <v>28</v>
      </c>
      <c r="O532" s="1" t="s">
        <v>26</v>
      </c>
      <c r="P532" s="1" t="s">
        <v>51</v>
      </c>
    </row>
    <row r="533" spans="1:16" x14ac:dyDescent="0.3">
      <c r="A533" s="1">
        <v>100009</v>
      </c>
      <c r="B533" s="2">
        <v>45332</v>
      </c>
      <c r="C533" s="1" t="s">
        <v>578</v>
      </c>
      <c r="D533" s="1" t="s">
        <v>29</v>
      </c>
      <c r="E533" s="1" t="s">
        <v>30</v>
      </c>
      <c r="F533" s="1" t="s">
        <v>1241</v>
      </c>
      <c r="G533" s="1" t="s">
        <v>31</v>
      </c>
      <c r="H533" s="1">
        <v>3</v>
      </c>
      <c r="I533" s="1">
        <f>Table1[[#This Row],[Units_Sold]]*Table1[[#This Row],[Unit_Price]]</f>
        <v>47.160000000000004</v>
      </c>
      <c r="J533" s="1">
        <v>15.72</v>
      </c>
      <c r="K533" s="1">
        <v>10</v>
      </c>
      <c r="L533" s="1">
        <v>42.44</v>
      </c>
      <c r="M533" s="1">
        <v>15.03</v>
      </c>
      <c r="N533" s="1">
        <v>16</v>
      </c>
      <c r="O533" s="1" t="s">
        <v>26</v>
      </c>
      <c r="P533" s="1" t="s">
        <v>32</v>
      </c>
    </row>
    <row r="534" spans="1:16" x14ac:dyDescent="0.3">
      <c r="A534" s="1">
        <v>100449</v>
      </c>
      <c r="B534" s="2">
        <v>45425</v>
      </c>
      <c r="C534" s="1" t="s">
        <v>579</v>
      </c>
      <c r="D534" s="1" t="s">
        <v>70</v>
      </c>
      <c r="E534" s="1" t="s">
        <v>25</v>
      </c>
      <c r="F534" s="1" t="s">
        <v>1237</v>
      </c>
      <c r="G534" s="1" t="s">
        <v>18</v>
      </c>
      <c r="H534" s="1">
        <v>2</v>
      </c>
      <c r="I534" s="1">
        <f>Table1[[#This Row],[Units_Sold]]*Table1[[#This Row],[Unit_Price]]</f>
        <v>265.2</v>
      </c>
      <c r="J534" s="1">
        <v>132.6</v>
      </c>
      <c r="K534" s="1">
        <v>5</v>
      </c>
      <c r="L534" s="1">
        <v>251.94</v>
      </c>
      <c r="M534" s="1">
        <v>78.19</v>
      </c>
      <c r="N534" s="1">
        <v>30</v>
      </c>
      <c r="O534" s="1" t="s">
        <v>26</v>
      </c>
      <c r="P534" s="1" t="s">
        <v>27</v>
      </c>
    </row>
    <row r="535" spans="1:16" x14ac:dyDescent="0.3">
      <c r="A535" s="1">
        <v>100873</v>
      </c>
      <c r="B535" s="2">
        <v>45762</v>
      </c>
      <c r="C535" s="1" t="s">
        <v>580</v>
      </c>
      <c r="D535" s="1" t="s">
        <v>100</v>
      </c>
      <c r="E535" s="1" t="s">
        <v>25</v>
      </c>
      <c r="F535" s="1" t="s">
        <v>1237</v>
      </c>
      <c r="G535" s="1" t="s">
        <v>18</v>
      </c>
      <c r="H535" s="1">
        <v>5</v>
      </c>
      <c r="I535" s="1">
        <f>Table1[[#This Row],[Units_Sold]]*Table1[[#This Row],[Unit_Price]]</f>
        <v>589.75</v>
      </c>
      <c r="J535" s="1">
        <v>117.95</v>
      </c>
      <c r="K535" s="1">
        <v>0</v>
      </c>
      <c r="L535" s="1">
        <v>589.75</v>
      </c>
      <c r="M535" s="1">
        <v>196.16</v>
      </c>
      <c r="N535" s="1">
        <v>16</v>
      </c>
      <c r="O535" s="1" t="s">
        <v>122</v>
      </c>
      <c r="P535" s="1" t="s">
        <v>43</v>
      </c>
    </row>
    <row r="536" spans="1:16" x14ac:dyDescent="0.3">
      <c r="A536" s="1">
        <v>100389</v>
      </c>
      <c r="B536" s="2">
        <v>45843</v>
      </c>
      <c r="C536" s="1" t="s">
        <v>581</v>
      </c>
      <c r="D536" s="1" t="s">
        <v>62</v>
      </c>
      <c r="E536" s="1" t="s">
        <v>17</v>
      </c>
      <c r="F536" s="1" t="s">
        <v>1238</v>
      </c>
      <c r="G536" s="1" t="s">
        <v>18</v>
      </c>
      <c r="H536" s="1">
        <v>6</v>
      </c>
      <c r="I536" s="1">
        <f>Table1[[#This Row],[Units_Sold]]*Table1[[#This Row],[Unit_Price]]</f>
        <v>785.16000000000008</v>
      </c>
      <c r="J536" s="1">
        <v>130.86000000000001</v>
      </c>
      <c r="K536" s="1">
        <v>0</v>
      </c>
      <c r="L536" s="1">
        <v>785.16</v>
      </c>
      <c r="M536" s="1">
        <v>229.42</v>
      </c>
      <c r="N536" s="1">
        <v>27</v>
      </c>
      <c r="O536" s="1" t="s">
        <v>26</v>
      </c>
      <c r="P536" s="1" t="s">
        <v>32</v>
      </c>
    </row>
    <row r="537" spans="1:16" x14ac:dyDescent="0.3">
      <c r="A537" s="1">
        <v>100965</v>
      </c>
      <c r="B537" s="2">
        <v>45117</v>
      </c>
      <c r="C537" s="1" t="s">
        <v>582</v>
      </c>
      <c r="D537" s="1" t="s">
        <v>73</v>
      </c>
      <c r="E537" s="1" t="s">
        <v>25</v>
      </c>
      <c r="F537" s="1" t="s">
        <v>1241</v>
      </c>
      <c r="G537" s="1" t="s">
        <v>31</v>
      </c>
      <c r="H537" s="1">
        <v>5</v>
      </c>
      <c r="I537" s="1">
        <f>Table1[[#This Row],[Units_Sold]]*Table1[[#This Row],[Unit_Price]]</f>
        <v>172.04999999999998</v>
      </c>
      <c r="J537" s="1">
        <v>34.409999999999997</v>
      </c>
      <c r="K537" s="1">
        <v>10</v>
      </c>
      <c r="L537" s="1">
        <v>154.84</v>
      </c>
      <c r="M537" s="1">
        <v>46.15</v>
      </c>
      <c r="N537" s="1">
        <v>16</v>
      </c>
      <c r="O537" s="1" t="s">
        <v>26</v>
      </c>
      <c r="P537" s="1" t="s">
        <v>32</v>
      </c>
    </row>
    <row r="538" spans="1:16" x14ac:dyDescent="0.3">
      <c r="A538" s="1">
        <v>100460</v>
      </c>
      <c r="B538" s="2">
        <v>45901</v>
      </c>
      <c r="C538" s="1" t="s">
        <v>583</v>
      </c>
      <c r="D538" s="1" t="s">
        <v>66</v>
      </c>
      <c r="E538" s="1" t="s">
        <v>17</v>
      </c>
      <c r="F538" s="1" t="s">
        <v>1237</v>
      </c>
      <c r="G538" s="1" t="s">
        <v>18</v>
      </c>
      <c r="H538" s="1">
        <v>3</v>
      </c>
      <c r="I538" s="1">
        <f>Table1[[#This Row],[Units_Sold]]*Table1[[#This Row],[Unit_Price]]</f>
        <v>409.11</v>
      </c>
      <c r="J538" s="1">
        <v>136.37</v>
      </c>
      <c r="K538" s="1">
        <v>5</v>
      </c>
      <c r="L538" s="1">
        <v>388.65</v>
      </c>
      <c r="M538" s="1">
        <v>101.81</v>
      </c>
      <c r="N538" s="1">
        <v>33</v>
      </c>
      <c r="O538" s="1" t="s">
        <v>26</v>
      </c>
      <c r="P538" s="1" t="s">
        <v>27</v>
      </c>
    </row>
    <row r="539" spans="1:16" x14ac:dyDescent="0.3">
      <c r="A539" s="1">
        <v>101146</v>
      </c>
      <c r="B539" s="2">
        <v>45197</v>
      </c>
      <c r="C539" s="1" t="s">
        <v>584</v>
      </c>
      <c r="D539" s="1" t="s">
        <v>16</v>
      </c>
      <c r="E539" s="1" t="s">
        <v>17</v>
      </c>
      <c r="F539" s="1" t="s">
        <v>1238</v>
      </c>
      <c r="G539" s="1" t="s">
        <v>48</v>
      </c>
      <c r="H539" s="1">
        <v>5</v>
      </c>
      <c r="I539" s="1">
        <f>Table1[[#This Row],[Units_Sold]]*Table1[[#This Row],[Unit_Price]]</f>
        <v>241.25</v>
      </c>
      <c r="J539" s="1">
        <v>48.25</v>
      </c>
      <c r="K539" s="1">
        <v>0</v>
      </c>
      <c r="L539" s="1">
        <v>241.25</v>
      </c>
      <c r="M539" s="1">
        <v>60.99</v>
      </c>
      <c r="N539" s="1">
        <v>23</v>
      </c>
      <c r="O539" s="1" t="s">
        <v>26</v>
      </c>
      <c r="P539" s="1" t="s">
        <v>51</v>
      </c>
    </row>
    <row r="540" spans="1:16" x14ac:dyDescent="0.3">
      <c r="A540" s="1">
        <v>100144</v>
      </c>
      <c r="B540" s="2">
        <v>45374</v>
      </c>
      <c r="C540" s="1" t="s">
        <v>585</v>
      </c>
      <c r="D540" s="1" t="s">
        <v>87</v>
      </c>
      <c r="E540" s="1" t="s">
        <v>25</v>
      </c>
      <c r="F540" s="1" t="s">
        <v>1237</v>
      </c>
      <c r="G540" s="1" t="s">
        <v>31</v>
      </c>
      <c r="H540" s="1">
        <v>3</v>
      </c>
      <c r="I540" s="1">
        <f>Table1[[#This Row],[Units_Sold]]*Table1[[#This Row],[Unit_Price]]</f>
        <v>307.23</v>
      </c>
      <c r="J540" s="1">
        <v>102.41</v>
      </c>
      <c r="K540" s="1">
        <v>20</v>
      </c>
      <c r="L540" s="1">
        <v>245.78</v>
      </c>
      <c r="M540" s="1">
        <v>72.55</v>
      </c>
      <c r="N540" s="1">
        <v>31</v>
      </c>
      <c r="O540" s="1" t="s">
        <v>26</v>
      </c>
      <c r="P540" s="1" t="s">
        <v>20</v>
      </c>
    </row>
    <row r="541" spans="1:16" x14ac:dyDescent="0.3">
      <c r="A541" s="1">
        <v>100501</v>
      </c>
      <c r="B541" s="2">
        <v>45437</v>
      </c>
      <c r="C541" s="1" t="s">
        <v>586</v>
      </c>
      <c r="D541" s="1" t="s">
        <v>73</v>
      </c>
      <c r="E541" s="1" t="s">
        <v>25</v>
      </c>
      <c r="F541" s="1" t="s">
        <v>1241</v>
      </c>
      <c r="G541" s="1" t="s">
        <v>18</v>
      </c>
      <c r="H541" s="1">
        <v>2</v>
      </c>
      <c r="I541" s="1">
        <f>Table1[[#This Row],[Units_Sold]]*Table1[[#This Row],[Unit_Price]]</f>
        <v>72.760000000000005</v>
      </c>
      <c r="J541" s="1">
        <v>36.380000000000003</v>
      </c>
      <c r="K541" s="1">
        <v>20</v>
      </c>
      <c r="L541" s="1">
        <v>58.21</v>
      </c>
      <c r="M541" s="1">
        <v>13.87</v>
      </c>
      <c r="N541" s="1">
        <v>39</v>
      </c>
      <c r="O541" s="1" t="s">
        <v>26</v>
      </c>
      <c r="P541" s="1" t="s">
        <v>51</v>
      </c>
    </row>
    <row r="542" spans="1:16" x14ac:dyDescent="0.3">
      <c r="A542" s="1">
        <v>101107</v>
      </c>
      <c r="B542" s="2">
        <v>44943</v>
      </c>
      <c r="C542" s="1" t="s">
        <v>587</v>
      </c>
      <c r="D542" s="1" t="s">
        <v>16</v>
      </c>
      <c r="E542" s="1" t="s">
        <v>17</v>
      </c>
      <c r="F542" s="1" t="s">
        <v>1238</v>
      </c>
      <c r="G542" s="1" t="s">
        <v>48</v>
      </c>
      <c r="H542" s="1">
        <v>2</v>
      </c>
      <c r="I542" s="1">
        <f>Table1[[#This Row],[Units_Sold]]*Table1[[#This Row],[Unit_Price]]</f>
        <v>119.32</v>
      </c>
      <c r="J542" s="1">
        <v>59.66</v>
      </c>
      <c r="K542" s="1">
        <v>0</v>
      </c>
      <c r="L542" s="1">
        <v>119.32</v>
      </c>
      <c r="M542" s="1">
        <v>32.15</v>
      </c>
      <c r="N542" s="1">
        <v>16</v>
      </c>
      <c r="O542" s="1" t="s">
        <v>19</v>
      </c>
      <c r="P542" s="1" t="s">
        <v>46</v>
      </c>
    </row>
    <row r="543" spans="1:16" x14ac:dyDescent="0.3">
      <c r="A543" s="1">
        <v>100539</v>
      </c>
      <c r="B543" s="2">
        <v>45251</v>
      </c>
      <c r="C543" s="1" t="s">
        <v>588</v>
      </c>
      <c r="D543" s="1" t="s">
        <v>45</v>
      </c>
      <c r="E543" s="1" t="s">
        <v>30</v>
      </c>
      <c r="F543" s="1" t="s">
        <v>1237</v>
      </c>
      <c r="G543" s="1" t="s">
        <v>48</v>
      </c>
      <c r="H543" s="1">
        <v>6</v>
      </c>
      <c r="I543" s="1">
        <f>Table1[[#This Row],[Units_Sold]]*Table1[[#This Row],[Unit_Price]]</f>
        <v>86.4</v>
      </c>
      <c r="J543" s="1">
        <v>14.4</v>
      </c>
      <c r="K543" s="1">
        <v>0</v>
      </c>
      <c r="L543" s="1">
        <v>86.4</v>
      </c>
      <c r="M543" s="1">
        <v>29.37</v>
      </c>
      <c r="N543" s="1">
        <v>16</v>
      </c>
      <c r="O543" s="1" t="s">
        <v>26</v>
      </c>
      <c r="P543" s="1" t="s">
        <v>51</v>
      </c>
    </row>
    <row r="544" spans="1:16" x14ac:dyDescent="0.3">
      <c r="A544" s="1">
        <v>100177</v>
      </c>
      <c r="B544" s="2">
        <v>45374</v>
      </c>
      <c r="C544" s="1" t="s">
        <v>589</v>
      </c>
      <c r="D544" s="1" t="s">
        <v>62</v>
      </c>
      <c r="E544" s="1" t="s">
        <v>17</v>
      </c>
      <c r="F544" s="1" t="s">
        <v>1239</v>
      </c>
      <c r="G544" s="1" t="s">
        <v>18</v>
      </c>
      <c r="H544" s="1">
        <v>3</v>
      </c>
      <c r="I544" s="1">
        <f>Table1[[#This Row],[Units_Sold]]*Table1[[#This Row],[Unit_Price]]</f>
        <v>414.03</v>
      </c>
      <c r="J544" s="1">
        <v>138.01</v>
      </c>
      <c r="K544" s="1">
        <v>0</v>
      </c>
      <c r="L544" s="1">
        <v>414.03</v>
      </c>
      <c r="M544" s="1">
        <v>121.98</v>
      </c>
      <c r="N544" s="1">
        <v>25</v>
      </c>
      <c r="O544" s="1" t="s">
        <v>19</v>
      </c>
      <c r="P544" s="1" t="s">
        <v>46</v>
      </c>
    </row>
    <row r="545" spans="1:16" x14ac:dyDescent="0.3">
      <c r="A545" s="1">
        <v>101158</v>
      </c>
      <c r="B545" s="2">
        <v>45442</v>
      </c>
      <c r="C545" s="1" t="s">
        <v>590</v>
      </c>
      <c r="D545" s="1" t="s">
        <v>100</v>
      </c>
      <c r="E545" s="1" t="s">
        <v>25</v>
      </c>
      <c r="F545" s="1" t="s">
        <v>1238</v>
      </c>
      <c r="G545" s="1" t="s">
        <v>48</v>
      </c>
      <c r="H545" s="1">
        <v>2</v>
      </c>
      <c r="I545" s="1">
        <f>Table1[[#This Row],[Units_Sold]]*Table1[[#This Row],[Unit_Price]]</f>
        <v>267.02</v>
      </c>
      <c r="J545" s="1">
        <v>133.51</v>
      </c>
      <c r="K545" s="1">
        <v>5</v>
      </c>
      <c r="L545" s="1">
        <v>253.67</v>
      </c>
      <c r="M545" s="1">
        <v>72.760000000000005</v>
      </c>
      <c r="N545" s="1">
        <v>42</v>
      </c>
      <c r="O545" s="1" t="s">
        <v>26</v>
      </c>
      <c r="P545" s="1" t="s">
        <v>43</v>
      </c>
    </row>
    <row r="546" spans="1:16" x14ac:dyDescent="0.3">
      <c r="A546" s="1">
        <v>101050</v>
      </c>
      <c r="B546" s="2">
        <v>45896</v>
      </c>
      <c r="C546" s="1" t="s">
        <v>591</v>
      </c>
      <c r="D546" s="1" t="s">
        <v>45</v>
      </c>
      <c r="E546" s="1" t="s">
        <v>30</v>
      </c>
      <c r="F546" s="1" t="s">
        <v>1241</v>
      </c>
      <c r="G546" s="1" t="s">
        <v>48</v>
      </c>
      <c r="H546" s="1">
        <v>2</v>
      </c>
      <c r="I546" s="1">
        <f>Table1[[#This Row],[Units_Sold]]*Table1[[#This Row],[Unit_Price]]</f>
        <v>31.58</v>
      </c>
      <c r="J546" s="1">
        <v>15.79</v>
      </c>
      <c r="K546" s="1">
        <v>40</v>
      </c>
      <c r="L546" s="1">
        <v>18.95</v>
      </c>
      <c r="M546" s="1">
        <v>8.6</v>
      </c>
      <c r="N546" s="1">
        <v>38</v>
      </c>
      <c r="O546" s="1" t="s">
        <v>26</v>
      </c>
      <c r="P546" s="1" t="s">
        <v>81</v>
      </c>
    </row>
    <row r="547" spans="1:16" x14ac:dyDescent="0.3">
      <c r="A547" s="1">
        <v>100583</v>
      </c>
      <c r="B547" s="2">
        <v>45799</v>
      </c>
      <c r="C547" s="1" t="s">
        <v>592</v>
      </c>
      <c r="D547" s="1" t="s">
        <v>62</v>
      </c>
      <c r="E547" s="1" t="s">
        <v>17</v>
      </c>
      <c r="F547" s="1" t="s">
        <v>1241</v>
      </c>
      <c r="G547" s="1" t="s">
        <v>18</v>
      </c>
      <c r="H547" s="1">
        <v>4</v>
      </c>
      <c r="I547" s="1">
        <f>Table1[[#This Row],[Units_Sold]]*Table1[[#This Row],[Unit_Price]]</f>
        <v>537.28</v>
      </c>
      <c r="J547" s="1">
        <v>134.32</v>
      </c>
      <c r="K547" s="1">
        <v>5</v>
      </c>
      <c r="L547" s="1">
        <v>510.42</v>
      </c>
      <c r="M547" s="1">
        <v>145.47</v>
      </c>
      <c r="N547" s="1">
        <v>25</v>
      </c>
      <c r="O547" s="1" t="s">
        <v>26</v>
      </c>
      <c r="P547" s="1" t="s">
        <v>81</v>
      </c>
    </row>
    <row r="548" spans="1:16" x14ac:dyDescent="0.3">
      <c r="A548" s="1">
        <v>101194</v>
      </c>
      <c r="B548" s="2">
        <v>45034</v>
      </c>
      <c r="C548" s="1" t="s">
        <v>593</v>
      </c>
      <c r="D548" s="1" t="s">
        <v>42</v>
      </c>
      <c r="E548" s="1" t="s">
        <v>25</v>
      </c>
      <c r="F548" s="1" t="s">
        <v>1238</v>
      </c>
      <c r="G548" s="1" t="s">
        <v>64</v>
      </c>
      <c r="H548" s="1">
        <v>3</v>
      </c>
      <c r="I548" s="1">
        <f>Table1[[#This Row],[Units_Sold]]*Table1[[#This Row],[Unit_Price]]</f>
        <v>514.86</v>
      </c>
      <c r="J548" s="1">
        <v>171.62</v>
      </c>
      <c r="K548" s="1">
        <v>0</v>
      </c>
      <c r="L548" s="1">
        <v>514.86</v>
      </c>
      <c r="M548" s="1">
        <v>167.49</v>
      </c>
      <c r="N548" s="1">
        <v>28</v>
      </c>
      <c r="O548" s="1" t="s">
        <v>19</v>
      </c>
      <c r="P548" s="1" t="s">
        <v>81</v>
      </c>
    </row>
    <row r="549" spans="1:16" x14ac:dyDescent="0.3">
      <c r="A549" s="1">
        <v>100007</v>
      </c>
      <c r="B549" s="2">
        <v>45094</v>
      </c>
      <c r="C549" s="1" t="s">
        <v>594</v>
      </c>
      <c r="D549" s="1" t="s">
        <v>29</v>
      </c>
      <c r="E549" s="1" t="s">
        <v>30</v>
      </c>
      <c r="F549" s="1" t="s">
        <v>1240</v>
      </c>
      <c r="G549" s="1" t="s">
        <v>31</v>
      </c>
      <c r="H549" s="1">
        <v>4</v>
      </c>
      <c r="I549" s="1">
        <f>Table1[[#This Row],[Units_Sold]]*Table1[[#This Row],[Unit_Price]]</f>
        <v>71.959999999999994</v>
      </c>
      <c r="J549" s="1">
        <v>17.989999999999998</v>
      </c>
      <c r="K549" s="1">
        <v>5</v>
      </c>
      <c r="L549" s="1">
        <v>68.36</v>
      </c>
      <c r="M549" s="1">
        <v>35.85</v>
      </c>
      <c r="N549" s="1">
        <v>39</v>
      </c>
      <c r="O549" s="1" t="s">
        <v>19</v>
      </c>
      <c r="P549" s="1" t="s">
        <v>43</v>
      </c>
    </row>
    <row r="550" spans="1:16" x14ac:dyDescent="0.3">
      <c r="A550" s="1">
        <v>100573</v>
      </c>
      <c r="B550" s="2">
        <v>45439</v>
      </c>
      <c r="C550" s="1" t="s">
        <v>595</v>
      </c>
      <c r="D550" s="1" t="s">
        <v>29</v>
      </c>
      <c r="E550" s="1" t="s">
        <v>30</v>
      </c>
      <c r="F550" s="1" t="s">
        <v>1237</v>
      </c>
      <c r="G550" s="1" t="s">
        <v>18</v>
      </c>
      <c r="H550" s="1">
        <v>4</v>
      </c>
      <c r="I550" s="1">
        <f>Table1[[#This Row],[Units_Sold]]*Table1[[#This Row],[Unit_Price]]</f>
        <v>76</v>
      </c>
      <c r="J550" s="1">
        <v>19</v>
      </c>
      <c r="K550" s="1">
        <v>0</v>
      </c>
      <c r="L550" s="1">
        <v>76</v>
      </c>
      <c r="M550" s="1">
        <v>21.18</v>
      </c>
      <c r="N550" s="1">
        <v>44</v>
      </c>
      <c r="O550" s="1" t="s">
        <v>19</v>
      </c>
      <c r="P550" s="1" t="s">
        <v>20</v>
      </c>
    </row>
    <row r="551" spans="1:16" x14ac:dyDescent="0.3">
      <c r="A551" s="1">
        <v>100842</v>
      </c>
      <c r="B551" s="2">
        <v>45034</v>
      </c>
      <c r="C551" s="1" t="s">
        <v>596</v>
      </c>
      <c r="D551" s="1" t="s">
        <v>66</v>
      </c>
      <c r="E551" s="1" t="s">
        <v>17</v>
      </c>
      <c r="F551" s="1" t="s">
        <v>1241</v>
      </c>
      <c r="G551" s="1" t="s">
        <v>31</v>
      </c>
      <c r="H551" s="1">
        <v>4</v>
      </c>
      <c r="I551" s="1">
        <f>Table1[[#This Row],[Units_Sold]]*Table1[[#This Row],[Unit_Price]]</f>
        <v>498.12</v>
      </c>
      <c r="J551" s="1">
        <v>124.53</v>
      </c>
      <c r="K551" s="1">
        <v>0</v>
      </c>
      <c r="L551" s="1">
        <v>498.12</v>
      </c>
      <c r="M551" s="1">
        <v>113.08</v>
      </c>
      <c r="N551" s="1">
        <v>31</v>
      </c>
      <c r="O551" s="1" t="s">
        <v>26</v>
      </c>
      <c r="P551" s="1" t="s">
        <v>35</v>
      </c>
    </row>
    <row r="552" spans="1:16" x14ac:dyDescent="0.3">
      <c r="A552" s="1">
        <v>100357</v>
      </c>
      <c r="B552" s="2">
        <v>45155</v>
      </c>
      <c r="C552" s="1" t="s">
        <v>597</v>
      </c>
      <c r="D552" s="1" t="s">
        <v>77</v>
      </c>
      <c r="E552" s="1" t="s">
        <v>30</v>
      </c>
      <c r="F552" s="1" t="s">
        <v>1238</v>
      </c>
      <c r="G552" s="1" t="s">
        <v>31</v>
      </c>
      <c r="H552" s="1">
        <v>2</v>
      </c>
      <c r="I552" s="1">
        <f>Table1[[#This Row],[Units_Sold]]*Table1[[#This Row],[Unit_Price]]</f>
        <v>77.64</v>
      </c>
      <c r="J552" s="1">
        <v>38.82</v>
      </c>
      <c r="K552" s="1">
        <v>0</v>
      </c>
      <c r="L552" s="1">
        <v>77.64</v>
      </c>
      <c r="M552" s="1">
        <v>24.21</v>
      </c>
      <c r="N552" s="1">
        <v>42</v>
      </c>
      <c r="O552" s="1" t="s">
        <v>26</v>
      </c>
      <c r="P552" s="1" t="s">
        <v>35</v>
      </c>
    </row>
    <row r="553" spans="1:16" x14ac:dyDescent="0.3">
      <c r="A553" s="1">
        <v>100329</v>
      </c>
      <c r="B553" s="2">
        <v>45110</v>
      </c>
      <c r="C553" s="1" t="s">
        <v>598</v>
      </c>
      <c r="D553" s="1" t="s">
        <v>37</v>
      </c>
      <c r="E553" s="1" t="s">
        <v>17</v>
      </c>
      <c r="F553" s="1" t="s">
        <v>1240</v>
      </c>
      <c r="G553" s="1" t="s">
        <v>64</v>
      </c>
      <c r="H553" s="1">
        <v>3</v>
      </c>
      <c r="I553" s="1">
        <f>Table1[[#This Row],[Units_Sold]]*Table1[[#This Row],[Unit_Price]]</f>
        <v>238.74</v>
      </c>
      <c r="J553" s="1">
        <v>79.58</v>
      </c>
      <c r="K553" s="1">
        <v>0</v>
      </c>
      <c r="L553" s="1">
        <v>238.74</v>
      </c>
      <c r="M553" s="1">
        <v>77.37</v>
      </c>
      <c r="N553" s="1">
        <v>24</v>
      </c>
      <c r="O553" s="1" t="s">
        <v>26</v>
      </c>
      <c r="P553" s="1" t="s">
        <v>46</v>
      </c>
    </row>
    <row r="554" spans="1:16" x14ac:dyDescent="0.3">
      <c r="A554" s="1">
        <v>100704</v>
      </c>
      <c r="B554" s="2">
        <v>45507</v>
      </c>
      <c r="C554" s="1" t="s">
        <v>599</v>
      </c>
      <c r="D554" s="1" t="s">
        <v>68</v>
      </c>
      <c r="E554" s="1" t="s">
        <v>25</v>
      </c>
      <c r="F554" s="1" t="s">
        <v>1238</v>
      </c>
      <c r="G554" s="1" t="s">
        <v>31</v>
      </c>
      <c r="H554" s="1">
        <v>2</v>
      </c>
      <c r="I554" s="1">
        <f>Table1[[#This Row],[Units_Sold]]*Table1[[#This Row],[Unit_Price]]</f>
        <v>448.28</v>
      </c>
      <c r="J554" s="1">
        <v>224.14</v>
      </c>
      <c r="K554" s="1">
        <v>0</v>
      </c>
      <c r="L554" s="1">
        <v>448.28</v>
      </c>
      <c r="M554" s="1">
        <v>104.77</v>
      </c>
      <c r="N554" s="1">
        <v>37</v>
      </c>
      <c r="O554" s="1" t="s">
        <v>26</v>
      </c>
      <c r="P554" s="1" t="s">
        <v>43</v>
      </c>
    </row>
    <row r="555" spans="1:16" x14ac:dyDescent="0.3">
      <c r="A555" s="1">
        <v>100829</v>
      </c>
      <c r="B555" s="2">
        <v>45052</v>
      </c>
      <c r="C555" s="1" t="s">
        <v>600</v>
      </c>
      <c r="D555" s="1" t="s">
        <v>73</v>
      </c>
      <c r="E555" s="1" t="s">
        <v>25</v>
      </c>
      <c r="F555" s="1" t="s">
        <v>1238</v>
      </c>
      <c r="G555" s="1" t="s">
        <v>31</v>
      </c>
      <c r="H555" s="1">
        <v>2</v>
      </c>
      <c r="I555" s="1">
        <f>Table1[[#This Row],[Units_Sold]]*Table1[[#This Row],[Unit_Price]]</f>
        <v>67.900000000000006</v>
      </c>
      <c r="J555" s="1">
        <v>33.950000000000003</v>
      </c>
      <c r="K555" s="1">
        <v>5</v>
      </c>
      <c r="L555" s="1">
        <v>64.5</v>
      </c>
      <c r="M555" s="1">
        <v>22.58</v>
      </c>
      <c r="N555" s="1">
        <v>32</v>
      </c>
      <c r="O555" s="1" t="s">
        <v>26</v>
      </c>
      <c r="P555" s="1" t="s">
        <v>46</v>
      </c>
    </row>
    <row r="556" spans="1:16" x14ac:dyDescent="0.3">
      <c r="A556" s="1">
        <v>100258</v>
      </c>
      <c r="B556" s="2">
        <v>45741</v>
      </c>
      <c r="C556" s="1" t="s">
        <v>601</v>
      </c>
      <c r="D556" s="1" t="s">
        <v>62</v>
      </c>
      <c r="E556" s="1" t="s">
        <v>17</v>
      </c>
      <c r="F556" s="1" t="s">
        <v>1240</v>
      </c>
      <c r="G556" s="1" t="s">
        <v>31</v>
      </c>
      <c r="H556" s="1">
        <v>2</v>
      </c>
      <c r="I556" s="1">
        <f>Table1[[#This Row],[Units_Sold]]*Table1[[#This Row],[Unit_Price]]</f>
        <v>282.44</v>
      </c>
      <c r="J556" s="1">
        <v>141.22</v>
      </c>
      <c r="K556" s="1">
        <v>10</v>
      </c>
      <c r="L556" s="1">
        <v>254.2</v>
      </c>
      <c r="M556" s="1">
        <v>54.11</v>
      </c>
      <c r="N556" s="1">
        <v>22</v>
      </c>
      <c r="O556" s="1" t="s">
        <v>26</v>
      </c>
      <c r="P556" s="1" t="s">
        <v>51</v>
      </c>
    </row>
    <row r="557" spans="1:16" x14ac:dyDescent="0.3">
      <c r="A557" s="1">
        <v>100890</v>
      </c>
      <c r="B557" s="2">
        <v>45243</v>
      </c>
      <c r="C557" s="1" t="s">
        <v>602</v>
      </c>
      <c r="D557" s="1" t="s">
        <v>100</v>
      </c>
      <c r="E557" s="1" t="s">
        <v>25</v>
      </c>
      <c r="F557" s="1" t="s">
        <v>1238</v>
      </c>
      <c r="G557" s="1" t="s">
        <v>18</v>
      </c>
      <c r="H557" s="1">
        <v>1</v>
      </c>
      <c r="I557" s="1">
        <f>Table1[[#This Row],[Units_Sold]]*Table1[[#This Row],[Unit_Price]]</f>
        <v>136.99</v>
      </c>
      <c r="J557" s="1">
        <v>136.99</v>
      </c>
      <c r="K557" s="1">
        <v>5</v>
      </c>
      <c r="L557" s="1">
        <v>130.13999999999999</v>
      </c>
      <c r="M557" s="1">
        <v>41.54</v>
      </c>
      <c r="N557" s="1">
        <v>32</v>
      </c>
      <c r="O557" s="1" t="s">
        <v>19</v>
      </c>
      <c r="P557" s="1" t="s">
        <v>35</v>
      </c>
    </row>
    <row r="558" spans="1:16" x14ac:dyDescent="0.3">
      <c r="A558" s="1">
        <v>100833</v>
      </c>
      <c r="B558" s="2">
        <v>44989</v>
      </c>
      <c r="C558" s="1" t="s">
        <v>603</v>
      </c>
      <c r="D558" s="1" t="s">
        <v>62</v>
      </c>
      <c r="E558" s="1" t="s">
        <v>17</v>
      </c>
      <c r="F558" s="1" t="s">
        <v>1237</v>
      </c>
      <c r="G558" s="1" t="s">
        <v>31</v>
      </c>
      <c r="H558" s="1">
        <v>2</v>
      </c>
      <c r="I558" s="1">
        <f>Table1[[#This Row],[Units_Sold]]*Table1[[#This Row],[Unit_Price]]</f>
        <v>313.52</v>
      </c>
      <c r="J558" s="1">
        <v>156.76</v>
      </c>
      <c r="K558" s="1">
        <v>0</v>
      </c>
      <c r="L558" s="1">
        <v>313.52</v>
      </c>
      <c r="M558" s="1">
        <v>109.41</v>
      </c>
      <c r="N558" s="1">
        <v>32</v>
      </c>
      <c r="O558" s="1" t="s">
        <v>19</v>
      </c>
      <c r="P558" s="1" t="s">
        <v>81</v>
      </c>
    </row>
    <row r="559" spans="1:16" x14ac:dyDescent="0.3">
      <c r="A559" s="1">
        <v>101187</v>
      </c>
      <c r="B559" s="2">
        <v>45909</v>
      </c>
      <c r="C559" s="1" t="s">
        <v>604</v>
      </c>
      <c r="D559" s="1" t="s">
        <v>77</v>
      </c>
      <c r="E559" s="1" t="s">
        <v>30</v>
      </c>
      <c r="F559" s="1" t="s">
        <v>1237</v>
      </c>
      <c r="G559" s="1" t="s">
        <v>18</v>
      </c>
      <c r="H559" s="1">
        <v>3</v>
      </c>
      <c r="I559" s="1">
        <f>Table1[[#This Row],[Units_Sold]]*Table1[[#This Row],[Unit_Price]]</f>
        <v>106.44</v>
      </c>
      <c r="J559" s="1">
        <v>35.479999999999997</v>
      </c>
      <c r="K559" s="1">
        <v>5</v>
      </c>
      <c r="L559" s="1">
        <v>101.12</v>
      </c>
      <c r="M559" s="1">
        <v>29.56</v>
      </c>
      <c r="N559" s="1">
        <v>38</v>
      </c>
      <c r="O559" s="1" t="s">
        <v>19</v>
      </c>
      <c r="P559" s="1" t="s">
        <v>27</v>
      </c>
    </row>
    <row r="560" spans="1:16" x14ac:dyDescent="0.3">
      <c r="A560" s="1">
        <v>100904</v>
      </c>
      <c r="B560" s="2">
        <v>45656</v>
      </c>
      <c r="C560" s="1" t="s">
        <v>605</v>
      </c>
      <c r="D560" s="1" t="s">
        <v>59</v>
      </c>
      <c r="E560" s="1" t="s">
        <v>17</v>
      </c>
      <c r="F560" s="1" t="s">
        <v>1238</v>
      </c>
      <c r="G560" s="1" t="s">
        <v>64</v>
      </c>
      <c r="H560" s="1">
        <v>2</v>
      </c>
      <c r="I560" s="1">
        <f>Table1[[#This Row],[Units_Sold]]*Table1[[#This Row],[Unit_Price]]</f>
        <v>50.82</v>
      </c>
      <c r="J560" s="1">
        <v>25.41</v>
      </c>
      <c r="K560" s="1">
        <v>0</v>
      </c>
      <c r="L560" s="1">
        <v>50.82</v>
      </c>
      <c r="M560" s="1">
        <v>14.51</v>
      </c>
      <c r="N560" s="1">
        <v>40</v>
      </c>
      <c r="O560" s="1" t="s">
        <v>26</v>
      </c>
      <c r="P560" s="1" t="s">
        <v>32</v>
      </c>
    </row>
    <row r="561" spans="1:16" x14ac:dyDescent="0.3">
      <c r="A561" s="1">
        <v>100525</v>
      </c>
      <c r="B561" s="2">
        <v>45407</v>
      </c>
      <c r="C561" s="1" t="s">
        <v>606</v>
      </c>
      <c r="D561" s="1" t="s">
        <v>45</v>
      </c>
      <c r="E561" s="1" t="s">
        <v>30</v>
      </c>
      <c r="F561" s="1" t="s">
        <v>1239</v>
      </c>
      <c r="G561" s="1" t="s">
        <v>64</v>
      </c>
      <c r="H561" s="1">
        <v>3</v>
      </c>
      <c r="I561" s="1">
        <f>Table1[[#This Row],[Units_Sold]]*Table1[[#This Row],[Unit_Price]]</f>
        <v>42</v>
      </c>
      <c r="J561" s="1">
        <v>14</v>
      </c>
      <c r="K561" s="1">
        <v>10</v>
      </c>
      <c r="L561" s="1">
        <v>37.799999999999997</v>
      </c>
      <c r="M561" s="1">
        <v>9.34</v>
      </c>
      <c r="N561" s="1">
        <v>16</v>
      </c>
      <c r="O561" s="1" t="s">
        <v>26</v>
      </c>
      <c r="P561" s="1" t="s">
        <v>81</v>
      </c>
    </row>
    <row r="562" spans="1:16" x14ac:dyDescent="0.3">
      <c r="A562" s="1">
        <v>100813</v>
      </c>
      <c r="B562" s="2">
        <v>45141</v>
      </c>
      <c r="C562" s="1" t="s">
        <v>607</v>
      </c>
      <c r="D562" s="1" t="s">
        <v>53</v>
      </c>
      <c r="E562" s="1" t="s">
        <v>30</v>
      </c>
      <c r="F562" s="1" t="s">
        <v>1237</v>
      </c>
      <c r="G562" s="1" t="s">
        <v>18</v>
      </c>
      <c r="H562" s="1">
        <v>5</v>
      </c>
      <c r="I562" s="1">
        <f>Table1[[#This Row],[Units_Sold]]*Table1[[#This Row],[Unit_Price]]</f>
        <v>94.149999999999991</v>
      </c>
      <c r="J562" s="1">
        <v>18.829999999999998</v>
      </c>
      <c r="K562" s="1">
        <v>0</v>
      </c>
      <c r="L562" s="1">
        <v>94.15</v>
      </c>
      <c r="M562" s="1">
        <v>30.76</v>
      </c>
      <c r="N562" s="1">
        <v>17</v>
      </c>
      <c r="O562" s="1" t="s">
        <v>19</v>
      </c>
      <c r="P562" s="1" t="s">
        <v>51</v>
      </c>
    </row>
    <row r="563" spans="1:16" x14ac:dyDescent="0.3">
      <c r="A563" s="1">
        <v>100731</v>
      </c>
      <c r="B563" s="2">
        <v>45407</v>
      </c>
      <c r="C563" s="1" t="s">
        <v>608</v>
      </c>
      <c r="D563" s="1" t="s">
        <v>87</v>
      </c>
      <c r="E563" s="1" t="s">
        <v>25</v>
      </c>
      <c r="F563" s="1" t="s">
        <v>1241</v>
      </c>
      <c r="G563" s="1" t="s">
        <v>18</v>
      </c>
      <c r="H563" s="1">
        <v>2</v>
      </c>
      <c r="I563" s="1">
        <f>Table1[[#This Row],[Units_Sold]]*Table1[[#This Row],[Unit_Price]]</f>
        <v>192.04</v>
      </c>
      <c r="J563" s="1">
        <v>96.02</v>
      </c>
      <c r="K563" s="1">
        <v>0</v>
      </c>
      <c r="L563" s="1">
        <v>192.04</v>
      </c>
      <c r="M563" s="1">
        <v>56.49</v>
      </c>
      <c r="N563" s="1">
        <v>43</v>
      </c>
      <c r="O563" s="1" t="s">
        <v>26</v>
      </c>
      <c r="P563" s="1" t="s">
        <v>27</v>
      </c>
    </row>
    <row r="564" spans="1:16" x14ac:dyDescent="0.3">
      <c r="A564" s="1">
        <v>101031</v>
      </c>
      <c r="B564" s="2">
        <v>45621</v>
      </c>
      <c r="C564" s="1" t="s">
        <v>609</v>
      </c>
      <c r="D564" s="1" t="s">
        <v>66</v>
      </c>
      <c r="E564" s="1" t="s">
        <v>17</v>
      </c>
      <c r="F564" s="1" t="s">
        <v>1237</v>
      </c>
      <c r="G564" s="1" t="s">
        <v>18</v>
      </c>
      <c r="H564" s="1">
        <v>1</v>
      </c>
      <c r="I564" s="1">
        <f>Table1[[#This Row],[Units_Sold]]*Table1[[#This Row],[Unit_Price]]</f>
        <v>119</v>
      </c>
      <c r="J564" s="1">
        <v>119</v>
      </c>
      <c r="K564" s="1">
        <v>5</v>
      </c>
      <c r="L564" s="1">
        <v>113.05</v>
      </c>
      <c r="M564" s="1">
        <v>30.11</v>
      </c>
      <c r="N564" s="1">
        <v>28</v>
      </c>
      <c r="O564" s="1" t="s">
        <v>26</v>
      </c>
      <c r="P564" s="1" t="s">
        <v>20</v>
      </c>
    </row>
    <row r="565" spans="1:16" x14ac:dyDescent="0.3">
      <c r="A565" s="1">
        <v>101140</v>
      </c>
      <c r="B565" s="2">
        <v>45336</v>
      </c>
      <c r="C565" s="1" t="s">
        <v>610</v>
      </c>
      <c r="D565" s="1" t="s">
        <v>24</v>
      </c>
      <c r="E565" s="1" t="s">
        <v>25</v>
      </c>
      <c r="F565" s="1" t="s">
        <v>1238</v>
      </c>
      <c r="G565" s="1" t="s">
        <v>31</v>
      </c>
      <c r="H565" s="1">
        <v>4</v>
      </c>
      <c r="I565" s="1">
        <f>Table1[[#This Row],[Units_Sold]]*Table1[[#This Row],[Unit_Price]]</f>
        <v>356.72</v>
      </c>
      <c r="J565" s="1">
        <v>89.18</v>
      </c>
      <c r="K565" s="1">
        <v>0</v>
      </c>
      <c r="L565" s="1">
        <v>356.72</v>
      </c>
      <c r="M565" s="1">
        <v>105.33</v>
      </c>
      <c r="N565" s="1">
        <v>30</v>
      </c>
      <c r="O565" s="1" t="s">
        <v>26</v>
      </c>
      <c r="P565" s="1" t="s">
        <v>46</v>
      </c>
    </row>
    <row r="566" spans="1:16" x14ac:dyDescent="0.3">
      <c r="A566" s="1">
        <v>100440</v>
      </c>
      <c r="B566" s="2">
        <v>45636</v>
      </c>
      <c r="C566" s="1" t="s">
        <v>611</v>
      </c>
      <c r="D566" s="1" t="s">
        <v>70</v>
      </c>
      <c r="E566" s="1" t="s">
        <v>25</v>
      </c>
      <c r="F566" s="1" t="s">
        <v>1238</v>
      </c>
      <c r="G566" s="1" t="s">
        <v>64</v>
      </c>
      <c r="H566" s="1">
        <v>4</v>
      </c>
      <c r="I566" s="1">
        <f>Table1[[#This Row],[Units_Sold]]*Table1[[#This Row],[Unit_Price]]</f>
        <v>588.55999999999995</v>
      </c>
      <c r="J566" s="1">
        <v>147.13999999999999</v>
      </c>
      <c r="K566" s="1">
        <v>0</v>
      </c>
      <c r="L566" s="1">
        <v>588.55999999999995</v>
      </c>
      <c r="M566" s="1">
        <v>184.48</v>
      </c>
      <c r="N566" s="1">
        <v>21</v>
      </c>
      <c r="O566" s="1" t="s">
        <v>19</v>
      </c>
      <c r="P566" s="1" t="s">
        <v>43</v>
      </c>
    </row>
    <row r="567" spans="1:16" x14ac:dyDescent="0.3">
      <c r="A567" s="1">
        <v>100531</v>
      </c>
      <c r="B567" s="2">
        <v>45731</v>
      </c>
      <c r="C567" s="1" t="s">
        <v>612</v>
      </c>
      <c r="D567" s="1" t="s">
        <v>53</v>
      </c>
      <c r="E567" s="1" t="s">
        <v>30</v>
      </c>
      <c r="F567" s="1" t="s">
        <v>1238</v>
      </c>
      <c r="G567" s="1" t="s">
        <v>31</v>
      </c>
      <c r="H567" s="1">
        <v>2</v>
      </c>
      <c r="I567" s="1">
        <f>Table1[[#This Row],[Units_Sold]]*Table1[[#This Row],[Unit_Price]]</f>
        <v>39.880000000000003</v>
      </c>
      <c r="J567" s="1">
        <v>19.940000000000001</v>
      </c>
      <c r="K567" s="1">
        <v>0</v>
      </c>
      <c r="L567" s="1">
        <v>39.880000000000003</v>
      </c>
      <c r="M567" s="1">
        <v>11.52</v>
      </c>
      <c r="N567" s="1">
        <v>23</v>
      </c>
      <c r="O567" s="1" t="s">
        <v>26</v>
      </c>
      <c r="P567" s="1" t="s">
        <v>35</v>
      </c>
    </row>
    <row r="568" spans="1:16" x14ac:dyDescent="0.3">
      <c r="A568" s="1">
        <v>100959</v>
      </c>
      <c r="B568" s="2">
        <v>45187</v>
      </c>
      <c r="C568" s="1" t="s">
        <v>613</v>
      </c>
      <c r="D568" s="1" t="s">
        <v>37</v>
      </c>
      <c r="E568" s="1" t="s">
        <v>17</v>
      </c>
      <c r="F568" s="1" t="s">
        <v>1240</v>
      </c>
      <c r="G568" s="1" t="s">
        <v>48</v>
      </c>
      <c r="H568" s="1">
        <v>2</v>
      </c>
      <c r="I568" s="1">
        <f>Table1[[#This Row],[Units_Sold]]*Table1[[#This Row],[Unit_Price]]</f>
        <v>135.12</v>
      </c>
      <c r="J568" s="1">
        <v>67.56</v>
      </c>
      <c r="K568" s="1">
        <v>0</v>
      </c>
      <c r="L568" s="1">
        <v>135.12</v>
      </c>
      <c r="M568" s="1">
        <v>35.75</v>
      </c>
      <c r="N568" s="1">
        <v>29</v>
      </c>
      <c r="O568" s="1" t="s">
        <v>26</v>
      </c>
      <c r="P568" s="1" t="s">
        <v>27</v>
      </c>
    </row>
    <row r="569" spans="1:16" x14ac:dyDescent="0.3">
      <c r="A569" s="1">
        <v>100228</v>
      </c>
      <c r="B569" s="2">
        <v>45303</v>
      </c>
      <c r="C569" s="1" t="s">
        <v>614</v>
      </c>
      <c r="D569" s="1" t="s">
        <v>100</v>
      </c>
      <c r="E569" s="1" t="s">
        <v>25</v>
      </c>
      <c r="F569" s="1" t="s">
        <v>1240</v>
      </c>
      <c r="G569" s="1" t="s">
        <v>31</v>
      </c>
      <c r="H569" s="1">
        <v>3</v>
      </c>
      <c r="I569" s="1">
        <f>Table1[[#This Row],[Units_Sold]]*Table1[[#This Row],[Unit_Price]]</f>
        <v>427.62</v>
      </c>
      <c r="J569" s="1">
        <v>142.54</v>
      </c>
      <c r="K569" s="1">
        <v>20</v>
      </c>
      <c r="L569" s="1">
        <v>342.1</v>
      </c>
      <c r="M569" s="1">
        <v>109.2</v>
      </c>
      <c r="N569" s="1">
        <v>18</v>
      </c>
      <c r="O569" s="1" t="s">
        <v>26</v>
      </c>
      <c r="P569" s="1" t="s">
        <v>43</v>
      </c>
    </row>
    <row r="570" spans="1:16" x14ac:dyDescent="0.3">
      <c r="A570" s="1">
        <v>101040</v>
      </c>
      <c r="B570" s="2">
        <v>45170</v>
      </c>
      <c r="C570" s="1" t="s">
        <v>615</v>
      </c>
      <c r="D570" s="1" t="s">
        <v>22</v>
      </c>
      <c r="E570" s="1" t="s">
        <v>17</v>
      </c>
      <c r="F570" s="1" t="s">
        <v>1238</v>
      </c>
      <c r="G570" s="1" t="s">
        <v>48</v>
      </c>
      <c r="H570" s="1">
        <v>5</v>
      </c>
      <c r="I570" s="1">
        <f>Table1[[#This Row],[Units_Sold]]*Table1[[#This Row],[Unit_Price]]</f>
        <v>124.35000000000001</v>
      </c>
      <c r="J570" s="1">
        <v>24.87</v>
      </c>
      <c r="K570" s="1">
        <v>20</v>
      </c>
      <c r="L570" s="1">
        <v>99.48</v>
      </c>
      <c r="M570" s="1">
        <v>19.190000000000001</v>
      </c>
      <c r="N570" s="1">
        <v>31</v>
      </c>
      <c r="O570" s="1" t="s">
        <v>26</v>
      </c>
      <c r="P570" s="1" t="s">
        <v>27</v>
      </c>
    </row>
    <row r="571" spans="1:16" x14ac:dyDescent="0.3">
      <c r="A571" s="1">
        <v>100212</v>
      </c>
      <c r="B571" s="2">
        <v>45486</v>
      </c>
      <c r="C571" s="1" t="s">
        <v>616</v>
      </c>
      <c r="D571" s="1" t="s">
        <v>59</v>
      </c>
      <c r="E571" s="1" t="s">
        <v>17</v>
      </c>
      <c r="F571" s="1" t="s">
        <v>1239</v>
      </c>
      <c r="G571" s="1" t="s">
        <v>31</v>
      </c>
      <c r="H571" s="1">
        <v>2</v>
      </c>
      <c r="I571" s="1">
        <f>Table1[[#This Row],[Units_Sold]]*Table1[[#This Row],[Unit_Price]]</f>
        <v>64.62</v>
      </c>
      <c r="J571" s="1">
        <v>32.31</v>
      </c>
      <c r="K571" s="1">
        <v>0</v>
      </c>
      <c r="L571" s="1">
        <v>64.62</v>
      </c>
      <c r="M571" s="1">
        <v>19.29</v>
      </c>
      <c r="N571" s="1">
        <v>31</v>
      </c>
      <c r="O571" s="1" t="s">
        <v>19</v>
      </c>
      <c r="P571" s="1" t="s">
        <v>20</v>
      </c>
    </row>
    <row r="572" spans="1:16" x14ac:dyDescent="0.3">
      <c r="A572" s="1">
        <v>100079</v>
      </c>
      <c r="B572" s="2">
        <v>45048</v>
      </c>
      <c r="C572" s="1" t="s">
        <v>617</v>
      </c>
      <c r="D572" s="1" t="s">
        <v>45</v>
      </c>
      <c r="E572" s="1" t="s">
        <v>30</v>
      </c>
      <c r="F572" s="1" t="s">
        <v>1237</v>
      </c>
      <c r="G572" s="1" t="s">
        <v>31</v>
      </c>
      <c r="H572" s="1">
        <v>4</v>
      </c>
      <c r="I572" s="1">
        <f>Table1[[#This Row],[Units_Sold]]*Table1[[#This Row],[Unit_Price]]</f>
        <v>62.56</v>
      </c>
      <c r="J572" s="1">
        <v>15.64</v>
      </c>
      <c r="K572" s="1">
        <v>0</v>
      </c>
      <c r="L572" s="1">
        <v>62.56</v>
      </c>
      <c r="M572" s="1">
        <v>21.71</v>
      </c>
      <c r="N572" s="1">
        <v>46</v>
      </c>
      <c r="O572" s="1" t="s">
        <v>26</v>
      </c>
      <c r="P572" s="1" t="s">
        <v>32</v>
      </c>
    </row>
    <row r="573" spans="1:16" x14ac:dyDescent="0.3">
      <c r="A573" s="1">
        <v>100148</v>
      </c>
      <c r="B573" s="2">
        <v>45377</v>
      </c>
      <c r="C573" s="1" t="s">
        <v>618</v>
      </c>
      <c r="D573" s="1" t="s">
        <v>24</v>
      </c>
      <c r="E573" s="1" t="s">
        <v>25</v>
      </c>
      <c r="F573" s="1" t="s">
        <v>1237</v>
      </c>
      <c r="G573" s="1" t="s">
        <v>31</v>
      </c>
      <c r="H573" s="1">
        <v>4</v>
      </c>
      <c r="I573" s="1">
        <f>Table1[[#This Row],[Units_Sold]]*Table1[[#This Row],[Unit_Price]]</f>
        <v>397</v>
      </c>
      <c r="J573" s="1">
        <v>99.25</v>
      </c>
      <c r="K573" s="1">
        <v>5</v>
      </c>
      <c r="L573" s="1">
        <v>377.15</v>
      </c>
      <c r="M573" s="1">
        <v>133.53</v>
      </c>
      <c r="N573" s="1">
        <v>33</v>
      </c>
      <c r="O573" s="1" t="s">
        <v>19</v>
      </c>
      <c r="P573" s="1" t="s">
        <v>43</v>
      </c>
    </row>
    <row r="574" spans="1:16" x14ac:dyDescent="0.3">
      <c r="A574" s="1">
        <v>100591</v>
      </c>
      <c r="B574" s="2">
        <v>45020</v>
      </c>
      <c r="C574" s="1" t="s">
        <v>619</v>
      </c>
      <c r="D574" s="1" t="s">
        <v>87</v>
      </c>
      <c r="E574" s="1" t="s">
        <v>25</v>
      </c>
      <c r="F574" s="1" t="s">
        <v>1237</v>
      </c>
      <c r="G574" s="1" t="s">
        <v>18</v>
      </c>
      <c r="H574" s="1">
        <v>4</v>
      </c>
      <c r="I574" s="1">
        <f>Table1[[#This Row],[Units_Sold]]*Table1[[#This Row],[Unit_Price]]</f>
        <v>342.96</v>
      </c>
      <c r="J574" s="1">
        <v>85.74</v>
      </c>
      <c r="K574" s="1">
        <v>0</v>
      </c>
      <c r="L574" s="1">
        <v>342.96</v>
      </c>
      <c r="M574" s="1">
        <v>95.02</v>
      </c>
      <c r="N574" s="1">
        <v>24</v>
      </c>
      <c r="O574" s="1" t="s">
        <v>19</v>
      </c>
      <c r="P574" s="1" t="s">
        <v>35</v>
      </c>
    </row>
    <row r="575" spans="1:16" x14ac:dyDescent="0.3">
      <c r="A575" s="1">
        <v>100707</v>
      </c>
      <c r="B575" s="2">
        <v>45115</v>
      </c>
      <c r="C575" s="1" t="s">
        <v>620</v>
      </c>
      <c r="D575" s="1" t="s">
        <v>73</v>
      </c>
      <c r="E575" s="1" t="s">
        <v>25</v>
      </c>
      <c r="F575" s="1" t="s">
        <v>1241</v>
      </c>
      <c r="G575" s="1" t="s">
        <v>18</v>
      </c>
      <c r="H575" s="1">
        <v>1</v>
      </c>
      <c r="I575" s="1">
        <f>Table1[[#This Row],[Units_Sold]]*Table1[[#This Row],[Unit_Price]]</f>
        <v>35.89</v>
      </c>
      <c r="J575" s="1">
        <v>35.89</v>
      </c>
      <c r="K575" s="1">
        <v>0</v>
      </c>
      <c r="L575" s="1">
        <v>35.89</v>
      </c>
      <c r="M575" s="1">
        <v>11.09</v>
      </c>
      <c r="N575" s="1">
        <v>40</v>
      </c>
      <c r="O575" s="1" t="s">
        <v>26</v>
      </c>
      <c r="P575" s="1" t="s">
        <v>43</v>
      </c>
    </row>
    <row r="576" spans="1:16" x14ac:dyDescent="0.3">
      <c r="A576" s="1">
        <v>100589</v>
      </c>
      <c r="B576" s="2">
        <v>45111</v>
      </c>
      <c r="C576" s="1" t="s">
        <v>621</v>
      </c>
      <c r="D576" s="1" t="s">
        <v>77</v>
      </c>
      <c r="E576" s="1" t="s">
        <v>30</v>
      </c>
      <c r="F576" s="1" t="s">
        <v>1237</v>
      </c>
      <c r="G576" s="1" t="s">
        <v>18</v>
      </c>
      <c r="H576" s="1">
        <v>2</v>
      </c>
      <c r="I576" s="1">
        <f>Table1[[#This Row],[Units_Sold]]*Table1[[#This Row],[Unit_Price]]</f>
        <v>76.099999999999994</v>
      </c>
      <c r="J576" s="1">
        <v>38.049999999999997</v>
      </c>
      <c r="K576" s="1">
        <v>0</v>
      </c>
      <c r="L576" s="1">
        <v>76.099999999999994</v>
      </c>
      <c r="M576" s="1">
        <v>28.72</v>
      </c>
      <c r="N576" s="1">
        <v>23</v>
      </c>
      <c r="O576" s="1" t="s">
        <v>26</v>
      </c>
      <c r="P576" s="1" t="s">
        <v>46</v>
      </c>
    </row>
    <row r="577" spans="1:16" x14ac:dyDescent="0.3">
      <c r="A577" s="1">
        <v>100133</v>
      </c>
      <c r="B577" s="2">
        <v>45085</v>
      </c>
      <c r="C577" s="1" t="s">
        <v>622</v>
      </c>
      <c r="D577" s="1" t="s">
        <v>53</v>
      </c>
      <c r="E577" s="1" t="s">
        <v>30</v>
      </c>
      <c r="F577" s="1" t="s">
        <v>1241</v>
      </c>
      <c r="G577" s="1" t="s">
        <v>48</v>
      </c>
      <c r="H577" s="1">
        <v>4</v>
      </c>
      <c r="I577" s="1">
        <f>Table1[[#This Row],[Units_Sold]]*Table1[[#This Row],[Unit_Price]]</f>
        <v>100.44</v>
      </c>
      <c r="J577" s="1">
        <v>25.11</v>
      </c>
      <c r="K577" s="1">
        <v>20</v>
      </c>
      <c r="L577" s="1">
        <v>80.349999999999994</v>
      </c>
      <c r="M577" s="1">
        <v>33.92</v>
      </c>
      <c r="N577" s="1">
        <v>16</v>
      </c>
      <c r="O577" s="1" t="s">
        <v>26</v>
      </c>
      <c r="P577" s="1" t="s">
        <v>20</v>
      </c>
    </row>
    <row r="578" spans="1:16" x14ac:dyDescent="0.3">
      <c r="A578" s="1">
        <v>100781</v>
      </c>
      <c r="B578" s="2">
        <v>44977</v>
      </c>
      <c r="C578" s="1" t="s">
        <v>623</v>
      </c>
      <c r="D578" s="1" t="s">
        <v>62</v>
      </c>
      <c r="E578" s="1" t="s">
        <v>17</v>
      </c>
      <c r="F578" s="1" t="s">
        <v>1237</v>
      </c>
      <c r="G578" s="1" t="s">
        <v>18</v>
      </c>
      <c r="H578" s="1">
        <v>3</v>
      </c>
      <c r="I578" s="1">
        <f>Table1[[#This Row],[Units_Sold]]*Table1[[#This Row],[Unit_Price]]</f>
        <v>452.79</v>
      </c>
      <c r="J578" s="1">
        <v>150.93</v>
      </c>
      <c r="K578" s="1">
        <v>0</v>
      </c>
      <c r="L578" s="1">
        <v>452.79</v>
      </c>
      <c r="M578" s="1">
        <v>134.34</v>
      </c>
      <c r="N578" s="1">
        <v>25</v>
      </c>
      <c r="O578" s="1" t="s">
        <v>19</v>
      </c>
      <c r="P578" s="1" t="s">
        <v>35</v>
      </c>
    </row>
    <row r="579" spans="1:16" x14ac:dyDescent="0.3">
      <c r="A579" s="1">
        <v>100408</v>
      </c>
      <c r="B579" s="2">
        <v>45353</v>
      </c>
      <c r="C579" s="1" t="s">
        <v>624</v>
      </c>
      <c r="D579" s="1" t="s">
        <v>29</v>
      </c>
      <c r="E579" s="1" t="s">
        <v>30</v>
      </c>
      <c r="F579" s="1" t="s">
        <v>1238</v>
      </c>
      <c r="G579" s="1" t="s">
        <v>31</v>
      </c>
      <c r="H579" s="1">
        <v>2</v>
      </c>
      <c r="I579" s="1">
        <f>Table1[[#This Row],[Units_Sold]]*Table1[[#This Row],[Unit_Price]]</f>
        <v>40.56</v>
      </c>
      <c r="J579" s="1">
        <v>20.28</v>
      </c>
      <c r="K579" s="1">
        <v>5</v>
      </c>
      <c r="L579" s="1">
        <v>38.53</v>
      </c>
      <c r="M579" s="1">
        <v>9.98</v>
      </c>
      <c r="N579" s="1">
        <v>28</v>
      </c>
      <c r="O579" s="1" t="s">
        <v>26</v>
      </c>
      <c r="P579" s="1" t="s">
        <v>81</v>
      </c>
    </row>
    <row r="580" spans="1:16" x14ac:dyDescent="0.3">
      <c r="A580" s="1">
        <v>100969</v>
      </c>
      <c r="B580" s="2">
        <v>45545</v>
      </c>
      <c r="C580" s="1" t="s">
        <v>625</v>
      </c>
      <c r="D580" s="1" t="s">
        <v>34</v>
      </c>
      <c r="E580" s="1" t="s">
        <v>30</v>
      </c>
      <c r="F580" s="1" t="s">
        <v>1237</v>
      </c>
      <c r="G580" s="1" t="s">
        <v>18</v>
      </c>
      <c r="H580" s="1">
        <v>2</v>
      </c>
      <c r="I580" s="1">
        <f>Table1[[#This Row],[Units_Sold]]*Table1[[#This Row],[Unit_Price]]</f>
        <v>107.78</v>
      </c>
      <c r="J580" s="1">
        <v>53.89</v>
      </c>
      <c r="K580" s="1">
        <v>5</v>
      </c>
      <c r="L580" s="1">
        <v>102.39</v>
      </c>
      <c r="M580" s="1">
        <v>37.729999999999997</v>
      </c>
      <c r="N580" s="1">
        <v>44</v>
      </c>
      <c r="O580" s="1" t="s">
        <v>26</v>
      </c>
      <c r="P580" s="1" t="s">
        <v>51</v>
      </c>
    </row>
    <row r="581" spans="1:16" x14ac:dyDescent="0.3">
      <c r="A581" s="1">
        <v>100507</v>
      </c>
      <c r="B581" s="2">
        <v>45169</v>
      </c>
      <c r="C581" s="1" t="s">
        <v>626</v>
      </c>
      <c r="D581" s="1" t="s">
        <v>22</v>
      </c>
      <c r="E581" s="1" t="s">
        <v>17</v>
      </c>
      <c r="F581" s="1" t="s">
        <v>1237</v>
      </c>
      <c r="G581" s="1" t="s">
        <v>18</v>
      </c>
      <c r="H581" s="1">
        <v>3</v>
      </c>
      <c r="I581" s="1">
        <f>Table1[[#This Row],[Units_Sold]]*Table1[[#This Row],[Unit_Price]]</f>
        <v>84.179999999999993</v>
      </c>
      <c r="J581" s="1">
        <v>28.06</v>
      </c>
      <c r="K581" s="1">
        <v>5</v>
      </c>
      <c r="L581" s="1">
        <v>79.97</v>
      </c>
      <c r="M581" s="1">
        <v>21.4</v>
      </c>
      <c r="N581" s="1">
        <v>34</v>
      </c>
      <c r="O581" s="1" t="s">
        <v>26</v>
      </c>
      <c r="P581" s="1" t="s">
        <v>51</v>
      </c>
    </row>
    <row r="582" spans="1:16" x14ac:dyDescent="0.3">
      <c r="A582" s="1">
        <v>100876</v>
      </c>
      <c r="B582" s="2">
        <v>45690</v>
      </c>
      <c r="C582" s="1" t="s">
        <v>627</v>
      </c>
      <c r="D582" s="1" t="s">
        <v>24</v>
      </c>
      <c r="E582" s="1" t="s">
        <v>25</v>
      </c>
      <c r="F582" s="1" t="s">
        <v>1240</v>
      </c>
      <c r="G582" s="1" t="s">
        <v>48</v>
      </c>
      <c r="H582" s="1">
        <v>2</v>
      </c>
      <c r="I582" s="1">
        <f>Table1[[#This Row],[Units_Sold]]*Table1[[#This Row],[Unit_Price]]</f>
        <v>203.64</v>
      </c>
      <c r="J582" s="1">
        <v>101.82</v>
      </c>
      <c r="K582" s="1">
        <v>10</v>
      </c>
      <c r="L582" s="1">
        <v>183.28</v>
      </c>
      <c r="M582" s="1">
        <v>65.34</v>
      </c>
      <c r="N582" s="1">
        <v>24</v>
      </c>
      <c r="O582" s="1" t="s">
        <v>19</v>
      </c>
      <c r="P582" s="1" t="s">
        <v>20</v>
      </c>
    </row>
    <row r="583" spans="1:16" x14ac:dyDescent="0.3">
      <c r="A583" s="1">
        <v>100504</v>
      </c>
      <c r="B583" s="2">
        <v>45709</v>
      </c>
      <c r="C583" s="1" t="s">
        <v>628</v>
      </c>
      <c r="D583" s="1" t="s">
        <v>56</v>
      </c>
      <c r="E583" s="1" t="s">
        <v>30</v>
      </c>
      <c r="F583" s="1" t="s">
        <v>1241</v>
      </c>
      <c r="G583" s="1" t="s">
        <v>31</v>
      </c>
      <c r="H583" s="1">
        <v>4</v>
      </c>
      <c r="I583" s="1">
        <f>Table1[[#This Row],[Units_Sold]]*Table1[[#This Row],[Unit_Price]]</f>
        <v>179.44</v>
      </c>
      <c r="J583" s="1">
        <v>44.86</v>
      </c>
      <c r="K583" s="1">
        <v>5</v>
      </c>
      <c r="L583" s="1">
        <v>170.47</v>
      </c>
      <c r="M583" s="1">
        <v>54.65</v>
      </c>
      <c r="N583" s="1">
        <v>34</v>
      </c>
      <c r="O583" s="1" t="s">
        <v>26</v>
      </c>
      <c r="P583" s="1" t="s">
        <v>32</v>
      </c>
    </row>
    <row r="584" spans="1:16" x14ac:dyDescent="0.3">
      <c r="A584" s="1">
        <v>100718</v>
      </c>
      <c r="B584" s="2">
        <v>45779</v>
      </c>
      <c r="C584" s="1" t="s">
        <v>629</v>
      </c>
      <c r="D584" s="1" t="s">
        <v>62</v>
      </c>
      <c r="E584" s="1" t="s">
        <v>17</v>
      </c>
      <c r="F584" s="1" t="s">
        <v>1238</v>
      </c>
      <c r="G584" s="1" t="s">
        <v>48</v>
      </c>
      <c r="H584" s="1">
        <v>4</v>
      </c>
      <c r="I584" s="1">
        <f>Table1[[#This Row],[Units_Sold]]*Table1[[#This Row],[Unit_Price]]</f>
        <v>603.84</v>
      </c>
      <c r="J584" s="1">
        <v>150.96</v>
      </c>
      <c r="K584" s="1">
        <v>5</v>
      </c>
      <c r="L584" s="1">
        <v>573.65</v>
      </c>
      <c r="M584" s="1">
        <v>113.41</v>
      </c>
      <c r="N584" s="1">
        <v>28</v>
      </c>
      <c r="O584" s="1" t="s">
        <v>26</v>
      </c>
      <c r="P584" s="1" t="s">
        <v>20</v>
      </c>
    </row>
    <row r="585" spans="1:16" x14ac:dyDescent="0.3">
      <c r="A585" s="1">
        <v>100347</v>
      </c>
      <c r="B585" s="2">
        <v>45131</v>
      </c>
      <c r="C585" s="1" t="s">
        <v>630</v>
      </c>
      <c r="D585" s="1" t="s">
        <v>56</v>
      </c>
      <c r="E585" s="1" t="s">
        <v>30</v>
      </c>
      <c r="F585" s="1" t="s">
        <v>1240</v>
      </c>
      <c r="G585" s="1" t="s">
        <v>31</v>
      </c>
      <c r="H585" s="1">
        <v>4</v>
      </c>
      <c r="I585" s="1">
        <f>Table1[[#This Row],[Units_Sold]]*Table1[[#This Row],[Unit_Price]]</f>
        <v>183.36</v>
      </c>
      <c r="J585" s="1">
        <v>45.84</v>
      </c>
      <c r="K585" s="1">
        <v>20</v>
      </c>
      <c r="L585" s="1">
        <v>146.69</v>
      </c>
      <c r="M585" s="1">
        <v>36.659999999999997</v>
      </c>
      <c r="N585" s="1">
        <v>30</v>
      </c>
      <c r="O585" s="1" t="s">
        <v>26</v>
      </c>
      <c r="P585" s="1" t="s">
        <v>32</v>
      </c>
    </row>
    <row r="586" spans="1:16" x14ac:dyDescent="0.3">
      <c r="A586" s="1">
        <v>100386</v>
      </c>
      <c r="B586" s="2">
        <v>45693</v>
      </c>
      <c r="C586" s="1" t="s">
        <v>631</v>
      </c>
      <c r="D586" s="1" t="s">
        <v>24</v>
      </c>
      <c r="E586" s="1" t="s">
        <v>25</v>
      </c>
      <c r="F586" s="1" t="s">
        <v>1238</v>
      </c>
      <c r="G586" s="1" t="s">
        <v>18</v>
      </c>
      <c r="H586" s="1">
        <v>2</v>
      </c>
      <c r="I586" s="1">
        <f>Table1[[#This Row],[Units_Sold]]*Table1[[#This Row],[Unit_Price]]</f>
        <v>180</v>
      </c>
      <c r="J586" s="1">
        <v>90</v>
      </c>
      <c r="K586" s="1">
        <v>5</v>
      </c>
      <c r="L586" s="1">
        <v>171</v>
      </c>
      <c r="M586" s="1">
        <v>48.7</v>
      </c>
      <c r="N586" s="1">
        <v>26</v>
      </c>
      <c r="O586" s="1" t="s">
        <v>19</v>
      </c>
      <c r="P586" s="1" t="s">
        <v>51</v>
      </c>
    </row>
    <row r="587" spans="1:16" x14ac:dyDescent="0.3">
      <c r="A587" s="1">
        <v>100000</v>
      </c>
      <c r="B587" s="2">
        <v>45581</v>
      </c>
      <c r="C587" s="1" t="s">
        <v>632</v>
      </c>
      <c r="D587" s="1" t="s">
        <v>87</v>
      </c>
      <c r="E587" s="1" t="s">
        <v>25</v>
      </c>
      <c r="F587" s="1" t="s">
        <v>1241</v>
      </c>
      <c r="G587" s="1" t="s">
        <v>18</v>
      </c>
      <c r="H587" s="1">
        <v>3</v>
      </c>
      <c r="I587" s="1">
        <f>Table1[[#This Row],[Units_Sold]]*Table1[[#This Row],[Unit_Price]]</f>
        <v>265.14</v>
      </c>
      <c r="J587" s="1">
        <v>88.38</v>
      </c>
      <c r="K587" s="1">
        <v>10</v>
      </c>
      <c r="L587" s="1">
        <v>238.63</v>
      </c>
      <c r="M587" s="1">
        <v>69.94</v>
      </c>
      <c r="N587" s="1">
        <v>32</v>
      </c>
      <c r="O587" s="1" t="s">
        <v>19</v>
      </c>
      <c r="P587" s="1" t="s">
        <v>27</v>
      </c>
    </row>
    <row r="588" spans="1:16" x14ac:dyDescent="0.3">
      <c r="A588" s="1">
        <v>100360</v>
      </c>
      <c r="B588" s="2">
        <v>44938</v>
      </c>
      <c r="C588" s="1" t="s">
        <v>633</v>
      </c>
      <c r="D588" s="1" t="s">
        <v>22</v>
      </c>
      <c r="E588" s="1" t="s">
        <v>17</v>
      </c>
      <c r="F588" s="1" t="s">
        <v>1237</v>
      </c>
      <c r="G588" s="1" t="s">
        <v>18</v>
      </c>
      <c r="H588" s="1">
        <v>2</v>
      </c>
      <c r="I588" s="1">
        <f>Table1[[#This Row],[Units_Sold]]*Table1[[#This Row],[Unit_Price]]</f>
        <v>43.72</v>
      </c>
      <c r="J588" s="1">
        <v>21.86</v>
      </c>
      <c r="K588" s="1">
        <v>20</v>
      </c>
      <c r="L588" s="1">
        <v>34.979999999999997</v>
      </c>
      <c r="M588" s="1">
        <v>7.43</v>
      </c>
      <c r="N588" s="1">
        <v>43</v>
      </c>
      <c r="O588" s="1" t="s">
        <v>19</v>
      </c>
      <c r="P588" s="1" t="s">
        <v>81</v>
      </c>
    </row>
    <row r="589" spans="1:16" x14ac:dyDescent="0.3">
      <c r="A589" s="1">
        <v>101133</v>
      </c>
      <c r="B589" s="2">
        <v>45044</v>
      </c>
      <c r="C589" s="1" t="s">
        <v>634</v>
      </c>
      <c r="D589" s="1" t="s">
        <v>42</v>
      </c>
      <c r="E589" s="1" t="s">
        <v>25</v>
      </c>
      <c r="F589" s="1" t="s">
        <v>1238</v>
      </c>
      <c r="G589" s="1" t="s">
        <v>18</v>
      </c>
      <c r="H589" s="1">
        <v>4</v>
      </c>
      <c r="I589" s="1">
        <f>Table1[[#This Row],[Units_Sold]]*Table1[[#This Row],[Unit_Price]]</f>
        <v>692.24</v>
      </c>
      <c r="J589" s="1">
        <v>173.06</v>
      </c>
      <c r="K589" s="1">
        <v>0</v>
      </c>
      <c r="L589" s="1">
        <v>692.24</v>
      </c>
      <c r="M589" s="1">
        <v>210.25</v>
      </c>
      <c r="N589" s="1">
        <v>38</v>
      </c>
      <c r="O589" s="1" t="s">
        <v>26</v>
      </c>
      <c r="P589" s="1" t="s">
        <v>51</v>
      </c>
    </row>
    <row r="590" spans="1:16" x14ac:dyDescent="0.3">
      <c r="A590" s="1">
        <v>100475</v>
      </c>
      <c r="B590" s="2">
        <v>45176</v>
      </c>
      <c r="C590" s="1" t="s">
        <v>594</v>
      </c>
      <c r="D590" s="1" t="s">
        <v>70</v>
      </c>
      <c r="E590" s="1" t="s">
        <v>25</v>
      </c>
      <c r="F590" s="1" t="s">
        <v>1237</v>
      </c>
      <c r="G590" s="1" t="s">
        <v>18</v>
      </c>
      <c r="H590" s="1">
        <v>2</v>
      </c>
      <c r="I590" s="1">
        <f>Table1[[#This Row],[Units_Sold]]*Table1[[#This Row],[Unit_Price]]</f>
        <v>322.04000000000002</v>
      </c>
      <c r="J590" s="1">
        <v>161.02000000000001</v>
      </c>
      <c r="K590" s="1">
        <v>10</v>
      </c>
      <c r="L590" s="1">
        <v>289.83999999999997</v>
      </c>
      <c r="M590" s="1">
        <v>76.67</v>
      </c>
      <c r="N590" s="1">
        <v>19</v>
      </c>
      <c r="O590" s="1" t="s">
        <v>26</v>
      </c>
      <c r="P590" s="1" t="s">
        <v>35</v>
      </c>
    </row>
    <row r="591" spans="1:16" x14ac:dyDescent="0.3">
      <c r="A591" s="1">
        <v>100777</v>
      </c>
      <c r="B591" s="2">
        <v>45570</v>
      </c>
      <c r="C591" s="1" t="s">
        <v>635</v>
      </c>
      <c r="D591" s="1" t="s">
        <v>16</v>
      </c>
      <c r="E591" s="1" t="s">
        <v>17</v>
      </c>
      <c r="F591" s="1" t="s">
        <v>1241</v>
      </c>
      <c r="G591" s="1" t="s">
        <v>18</v>
      </c>
      <c r="H591" s="1">
        <v>1</v>
      </c>
      <c r="I591" s="1">
        <f>Table1[[#This Row],[Units_Sold]]*Table1[[#This Row],[Unit_Price]]</f>
        <v>60.55</v>
      </c>
      <c r="J591" s="1">
        <v>60.55</v>
      </c>
      <c r="K591" s="1">
        <v>5</v>
      </c>
      <c r="L591" s="1">
        <v>57.52</v>
      </c>
      <c r="M591" s="1">
        <v>16.149999999999999</v>
      </c>
      <c r="N591" s="1">
        <v>33</v>
      </c>
      <c r="O591" s="1" t="s">
        <v>26</v>
      </c>
      <c r="P591" s="1" t="s">
        <v>35</v>
      </c>
    </row>
    <row r="592" spans="1:16" x14ac:dyDescent="0.3">
      <c r="A592" s="1">
        <v>100753</v>
      </c>
      <c r="B592" s="2">
        <v>44965</v>
      </c>
      <c r="C592" s="1" t="s">
        <v>636</v>
      </c>
      <c r="D592" s="1" t="s">
        <v>29</v>
      </c>
      <c r="E592" s="1" t="s">
        <v>30</v>
      </c>
      <c r="F592" s="1" t="s">
        <v>1238</v>
      </c>
      <c r="G592" s="1" t="s">
        <v>31</v>
      </c>
      <c r="H592" s="1">
        <v>3</v>
      </c>
      <c r="I592" s="1">
        <f>Table1[[#This Row],[Units_Sold]]*Table1[[#This Row],[Unit_Price]]</f>
        <v>47.849999999999994</v>
      </c>
      <c r="J592" s="1">
        <v>15.95</v>
      </c>
      <c r="K592" s="1">
        <v>0</v>
      </c>
      <c r="L592" s="1">
        <v>47.85</v>
      </c>
      <c r="M592" s="1">
        <v>14.86</v>
      </c>
      <c r="N592" s="1">
        <v>23</v>
      </c>
      <c r="O592" s="1" t="s">
        <v>26</v>
      </c>
      <c r="P592" s="1" t="s">
        <v>81</v>
      </c>
    </row>
    <row r="593" spans="1:16" x14ac:dyDescent="0.3">
      <c r="A593" s="1">
        <v>100172</v>
      </c>
      <c r="B593" s="2">
        <v>44971</v>
      </c>
      <c r="C593" s="1" t="s">
        <v>637</v>
      </c>
      <c r="D593" s="1" t="s">
        <v>62</v>
      </c>
      <c r="E593" s="1" t="s">
        <v>17</v>
      </c>
      <c r="F593" s="1" t="s">
        <v>1241</v>
      </c>
      <c r="G593" s="1" t="s">
        <v>18</v>
      </c>
      <c r="H593" s="1">
        <v>3</v>
      </c>
      <c r="I593" s="1">
        <f>Table1[[#This Row],[Units_Sold]]*Table1[[#This Row],[Unit_Price]]</f>
        <v>416.79</v>
      </c>
      <c r="J593" s="1">
        <v>138.93</v>
      </c>
      <c r="K593" s="1">
        <v>0</v>
      </c>
      <c r="L593" s="1">
        <v>416.79</v>
      </c>
      <c r="M593" s="1">
        <v>123.68</v>
      </c>
      <c r="N593" s="1">
        <v>31</v>
      </c>
      <c r="O593" s="1" t="s">
        <v>19</v>
      </c>
      <c r="P593" s="1" t="s">
        <v>43</v>
      </c>
    </row>
    <row r="594" spans="1:16" x14ac:dyDescent="0.3">
      <c r="A594" s="1">
        <v>100450</v>
      </c>
      <c r="B594" s="2">
        <v>45568</v>
      </c>
      <c r="C594" s="1" t="s">
        <v>638</v>
      </c>
      <c r="D594" s="1" t="s">
        <v>24</v>
      </c>
      <c r="E594" s="1" t="s">
        <v>25</v>
      </c>
      <c r="F594" s="1" t="s">
        <v>1237</v>
      </c>
      <c r="G594" s="1" t="s">
        <v>18</v>
      </c>
      <c r="H594" s="1">
        <v>1</v>
      </c>
      <c r="I594" s="1">
        <f>Table1[[#This Row],[Units_Sold]]*Table1[[#This Row],[Unit_Price]]</f>
        <v>89.51</v>
      </c>
      <c r="J594" s="1">
        <v>89.51</v>
      </c>
      <c r="K594" s="1">
        <v>20</v>
      </c>
      <c r="L594" s="1">
        <v>71.61</v>
      </c>
      <c r="M594" s="1">
        <v>22.12</v>
      </c>
      <c r="N594" s="1">
        <v>29</v>
      </c>
      <c r="O594" s="1" t="s">
        <v>19</v>
      </c>
      <c r="P594" s="1" t="s">
        <v>27</v>
      </c>
    </row>
    <row r="595" spans="1:16" x14ac:dyDescent="0.3">
      <c r="A595" s="1">
        <v>100125</v>
      </c>
      <c r="B595" s="2">
        <v>45452</v>
      </c>
      <c r="C595" s="1" t="s">
        <v>639</v>
      </c>
      <c r="D595" s="1" t="s">
        <v>77</v>
      </c>
      <c r="E595" s="1" t="s">
        <v>30</v>
      </c>
      <c r="F595" s="1" t="s">
        <v>1238</v>
      </c>
      <c r="G595" s="1" t="s">
        <v>64</v>
      </c>
      <c r="H595" s="1">
        <v>3</v>
      </c>
      <c r="I595" s="1">
        <f>Table1[[#This Row],[Units_Sold]]*Table1[[#This Row],[Unit_Price]]</f>
        <v>126.47999999999999</v>
      </c>
      <c r="J595" s="1">
        <v>42.16</v>
      </c>
      <c r="K595" s="1">
        <v>10</v>
      </c>
      <c r="L595" s="1">
        <v>113.83</v>
      </c>
      <c r="M595" s="1">
        <v>37.299999999999997</v>
      </c>
      <c r="N595" s="1">
        <v>25</v>
      </c>
      <c r="O595" s="1" t="s">
        <v>26</v>
      </c>
      <c r="P595" s="1" t="s">
        <v>20</v>
      </c>
    </row>
    <row r="596" spans="1:16" x14ac:dyDescent="0.3">
      <c r="A596" s="1">
        <v>100930</v>
      </c>
      <c r="B596" s="2">
        <v>45423</v>
      </c>
      <c r="C596" s="1" t="s">
        <v>640</v>
      </c>
      <c r="D596" s="1" t="s">
        <v>29</v>
      </c>
      <c r="E596" s="1" t="s">
        <v>30</v>
      </c>
      <c r="F596" s="1" t="s">
        <v>1238</v>
      </c>
      <c r="G596" s="1" t="s">
        <v>18</v>
      </c>
      <c r="H596" s="1">
        <v>3</v>
      </c>
      <c r="I596" s="1">
        <f>Table1[[#This Row],[Units_Sold]]*Table1[[#This Row],[Unit_Price]]</f>
        <v>57.449999999999996</v>
      </c>
      <c r="J596" s="1">
        <v>19.149999999999999</v>
      </c>
      <c r="K596" s="1">
        <v>10</v>
      </c>
      <c r="L596" s="1">
        <v>51.7</v>
      </c>
      <c r="M596" s="1">
        <v>15.64</v>
      </c>
      <c r="N596" s="1">
        <v>22</v>
      </c>
      <c r="O596" s="1" t="s">
        <v>19</v>
      </c>
      <c r="P596" s="1" t="s">
        <v>35</v>
      </c>
    </row>
    <row r="597" spans="1:16" x14ac:dyDescent="0.3">
      <c r="A597" s="1">
        <v>100530</v>
      </c>
      <c r="B597" s="2">
        <v>45055</v>
      </c>
      <c r="C597" s="1" t="s">
        <v>641</v>
      </c>
      <c r="D597" s="1" t="s">
        <v>29</v>
      </c>
      <c r="E597" s="1" t="s">
        <v>30</v>
      </c>
      <c r="F597" s="1" t="s">
        <v>1241</v>
      </c>
      <c r="G597" s="1" t="s">
        <v>18</v>
      </c>
      <c r="H597" s="1">
        <v>3</v>
      </c>
      <c r="I597" s="1">
        <f>Table1[[#This Row],[Units_Sold]]*Table1[[#This Row],[Unit_Price]]</f>
        <v>52.47</v>
      </c>
      <c r="J597" s="1">
        <v>17.489999999999998</v>
      </c>
      <c r="K597" s="1">
        <v>0</v>
      </c>
      <c r="L597" s="1">
        <v>52.47</v>
      </c>
      <c r="M597" s="1">
        <v>27.18</v>
      </c>
      <c r="N597" s="1">
        <v>41</v>
      </c>
      <c r="O597" s="1" t="s">
        <v>26</v>
      </c>
      <c r="P597" s="1" t="s">
        <v>43</v>
      </c>
    </row>
    <row r="598" spans="1:16" x14ac:dyDescent="0.3">
      <c r="A598" s="1">
        <v>100090</v>
      </c>
      <c r="B598" s="2">
        <v>45812</v>
      </c>
      <c r="C598" s="1" t="s">
        <v>642</v>
      </c>
      <c r="D598" s="1" t="s">
        <v>56</v>
      </c>
      <c r="E598" s="1" t="s">
        <v>30</v>
      </c>
      <c r="F598" s="1" t="s">
        <v>1241</v>
      </c>
      <c r="G598" s="1" t="s">
        <v>48</v>
      </c>
      <c r="H598" s="1">
        <v>2</v>
      </c>
      <c r="I598" s="1">
        <f>Table1[[#This Row],[Units_Sold]]*Table1[[#This Row],[Unit_Price]]</f>
        <v>94.42</v>
      </c>
      <c r="J598" s="1">
        <v>47.21</v>
      </c>
      <c r="K598" s="1">
        <v>0</v>
      </c>
      <c r="L598" s="1">
        <v>94.42</v>
      </c>
      <c r="M598" s="1">
        <v>36.17</v>
      </c>
      <c r="N598" s="1">
        <v>27</v>
      </c>
      <c r="O598" s="1" t="s">
        <v>26</v>
      </c>
      <c r="P598" s="1" t="s">
        <v>81</v>
      </c>
    </row>
    <row r="599" spans="1:16" x14ac:dyDescent="0.3">
      <c r="A599" s="1">
        <v>101161</v>
      </c>
      <c r="B599" s="2">
        <v>45427</v>
      </c>
      <c r="C599" s="1" t="s">
        <v>643</v>
      </c>
      <c r="D599" s="1" t="s">
        <v>37</v>
      </c>
      <c r="E599" s="1" t="s">
        <v>17</v>
      </c>
      <c r="F599" s="1" t="s">
        <v>1241</v>
      </c>
      <c r="G599" s="1" t="s">
        <v>18</v>
      </c>
      <c r="H599" s="1">
        <v>3</v>
      </c>
      <c r="I599" s="1">
        <f>Table1[[#This Row],[Units_Sold]]*Table1[[#This Row],[Unit_Price]]</f>
        <v>221.25</v>
      </c>
      <c r="J599" s="1">
        <v>73.75</v>
      </c>
      <c r="K599" s="1">
        <v>5</v>
      </c>
      <c r="L599" s="1">
        <v>210.19</v>
      </c>
      <c r="M599" s="1">
        <v>40.81</v>
      </c>
      <c r="N599" s="1">
        <v>26</v>
      </c>
      <c r="O599" s="1" t="s">
        <v>19</v>
      </c>
      <c r="P599" s="1" t="s">
        <v>20</v>
      </c>
    </row>
    <row r="600" spans="1:16" x14ac:dyDescent="0.3">
      <c r="A600" s="1">
        <v>100181</v>
      </c>
      <c r="B600" s="2">
        <v>45614</v>
      </c>
      <c r="C600" s="1" t="s">
        <v>644</v>
      </c>
      <c r="D600" s="1" t="s">
        <v>62</v>
      </c>
      <c r="E600" s="1" t="s">
        <v>17</v>
      </c>
      <c r="F600" s="1" t="s">
        <v>1237</v>
      </c>
      <c r="G600" s="1" t="s">
        <v>31</v>
      </c>
      <c r="H600" s="1">
        <v>4</v>
      </c>
      <c r="I600" s="1">
        <f>Table1[[#This Row],[Units_Sold]]*Table1[[#This Row],[Unit_Price]]</f>
        <v>624.67999999999995</v>
      </c>
      <c r="J600" s="1">
        <v>156.16999999999999</v>
      </c>
      <c r="K600" s="1">
        <v>5</v>
      </c>
      <c r="L600" s="1">
        <v>593.45000000000005</v>
      </c>
      <c r="M600" s="1">
        <v>178.37</v>
      </c>
      <c r="N600" s="1">
        <v>33</v>
      </c>
      <c r="O600" s="1" t="s">
        <v>19</v>
      </c>
      <c r="P600" s="1" t="s">
        <v>35</v>
      </c>
    </row>
    <row r="601" spans="1:16" x14ac:dyDescent="0.3">
      <c r="A601" s="1">
        <v>101026</v>
      </c>
      <c r="B601" s="2">
        <v>45158</v>
      </c>
      <c r="C601" s="1" t="s">
        <v>645</v>
      </c>
      <c r="D601" s="1" t="s">
        <v>53</v>
      </c>
      <c r="E601" s="1" t="s">
        <v>30</v>
      </c>
      <c r="F601" s="1" t="s">
        <v>1241</v>
      </c>
      <c r="G601" s="1" t="s">
        <v>18</v>
      </c>
      <c r="H601" s="1">
        <v>4</v>
      </c>
      <c r="I601" s="1">
        <f>Table1[[#This Row],[Units_Sold]]*Table1[[#This Row],[Unit_Price]]</f>
        <v>86.72</v>
      </c>
      <c r="J601" s="1">
        <v>21.68</v>
      </c>
      <c r="K601" s="1">
        <v>5</v>
      </c>
      <c r="L601" s="1">
        <v>82.38</v>
      </c>
      <c r="M601" s="1">
        <v>27.07</v>
      </c>
      <c r="N601" s="1">
        <v>30</v>
      </c>
      <c r="O601" s="1" t="s">
        <v>26</v>
      </c>
      <c r="P601" s="1" t="s">
        <v>20</v>
      </c>
    </row>
    <row r="602" spans="1:16" x14ac:dyDescent="0.3">
      <c r="A602" s="1">
        <v>100999</v>
      </c>
      <c r="B602" s="2">
        <v>44992</v>
      </c>
      <c r="C602" s="1" t="s">
        <v>646</v>
      </c>
      <c r="D602" s="1" t="s">
        <v>56</v>
      </c>
      <c r="E602" s="1" t="s">
        <v>30</v>
      </c>
      <c r="F602" s="1" t="s">
        <v>1238</v>
      </c>
      <c r="G602" s="1" t="s">
        <v>48</v>
      </c>
      <c r="H602" s="1">
        <v>1</v>
      </c>
      <c r="I602" s="1">
        <f>Table1[[#This Row],[Units_Sold]]*Table1[[#This Row],[Unit_Price]]</f>
        <v>47.77</v>
      </c>
      <c r="J602" s="1">
        <v>47.77</v>
      </c>
      <c r="K602" s="1">
        <v>0</v>
      </c>
      <c r="L602" s="1">
        <v>47.77</v>
      </c>
      <c r="M602" s="1">
        <v>16.89</v>
      </c>
      <c r="N602" s="1">
        <v>37</v>
      </c>
      <c r="O602" s="1" t="s">
        <v>19</v>
      </c>
      <c r="P602" s="1" t="s">
        <v>51</v>
      </c>
    </row>
    <row r="603" spans="1:16" x14ac:dyDescent="0.3">
      <c r="A603" s="1">
        <v>100251</v>
      </c>
      <c r="B603" s="2">
        <v>45247</v>
      </c>
      <c r="C603" s="1" t="s">
        <v>647</v>
      </c>
      <c r="D603" s="1" t="s">
        <v>34</v>
      </c>
      <c r="E603" s="1" t="s">
        <v>30</v>
      </c>
      <c r="F603" s="1" t="s">
        <v>1239</v>
      </c>
      <c r="G603" s="1" t="s">
        <v>31</v>
      </c>
      <c r="H603" s="1">
        <v>2</v>
      </c>
      <c r="I603" s="1">
        <f>Table1[[#This Row],[Units_Sold]]*Table1[[#This Row],[Unit_Price]]</f>
        <v>112.38</v>
      </c>
      <c r="J603" s="1">
        <v>56.19</v>
      </c>
      <c r="K603" s="1">
        <v>10</v>
      </c>
      <c r="L603" s="1">
        <v>101.14</v>
      </c>
      <c r="M603" s="1">
        <v>26.53</v>
      </c>
      <c r="N603" s="1">
        <v>33</v>
      </c>
      <c r="O603" s="1" t="s">
        <v>26</v>
      </c>
      <c r="P603" s="1" t="s">
        <v>32</v>
      </c>
    </row>
    <row r="604" spans="1:16" x14ac:dyDescent="0.3">
      <c r="A604" s="1">
        <v>100069</v>
      </c>
      <c r="B604" s="2">
        <v>45176</v>
      </c>
      <c r="C604" s="1" t="s">
        <v>648</v>
      </c>
      <c r="D604" s="1" t="s">
        <v>29</v>
      </c>
      <c r="E604" s="1" t="s">
        <v>30</v>
      </c>
      <c r="F604" s="1" t="s">
        <v>1237</v>
      </c>
      <c r="G604" s="1" t="s">
        <v>18</v>
      </c>
      <c r="H604" s="1">
        <v>2</v>
      </c>
      <c r="I604" s="1">
        <f>Table1[[#This Row],[Units_Sold]]*Table1[[#This Row],[Unit_Price]]</f>
        <v>37.32</v>
      </c>
      <c r="J604" s="1">
        <v>18.66</v>
      </c>
      <c r="K604" s="1">
        <v>0</v>
      </c>
      <c r="L604" s="1">
        <v>37.32</v>
      </c>
      <c r="M604" s="1">
        <v>12.5</v>
      </c>
      <c r="N604" s="1">
        <v>37</v>
      </c>
      <c r="O604" s="1" t="s">
        <v>26</v>
      </c>
      <c r="P604" s="1" t="s">
        <v>43</v>
      </c>
    </row>
    <row r="605" spans="1:16" x14ac:dyDescent="0.3">
      <c r="A605" s="1">
        <v>100131</v>
      </c>
      <c r="B605" s="2">
        <v>45025</v>
      </c>
      <c r="C605" s="1" t="s">
        <v>649</v>
      </c>
      <c r="D605" s="1" t="s">
        <v>59</v>
      </c>
      <c r="E605" s="1" t="s">
        <v>17</v>
      </c>
      <c r="F605" s="1" t="s">
        <v>1237</v>
      </c>
      <c r="G605" s="1" t="s">
        <v>31</v>
      </c>
      <c r="H605" s="1">
        <v>4</v>
      </c>
      <c r="I605" s="1">
        <f>Table1[[#This Row],[Units_Sold]]*Table1[[#This Row],[Unit_Price]]</f>
        <v>117.8</v>
      </c>
      <c r="J605" s="1">
        <v>29.45</v>
      </c>
      <c r="K605" s="1">
        <v>0</v>
      </c>
      <c r="L605" s="1">
        <v>117.8</v>
      </c>
      <c r="M605" s="1">
        <v>44.62</v>
      </c>
      <c r="N605" s="1">
        <v>21</v>
      </c>
      <c r="O605" s="1" t="s">
        <v>19</v>
      </c>
      <c r="P605" s="1" t="s">
        <v>43</v>
      </c>
    </row>
    <row r="606" spans="1:16" x14ac:dyDescent="0.3">
      <c r="A606" s="1">
        <v>100300</v>
      </c>
      <c r="B606" s="2">
        <v>45472</v>
      </c>
      <c r="C606" s="1" t="s">
        <v>650</v>
      </c>
      <c r="D606" s="1" t="s">
        <v>22</v>
      </c>
      <c r="E606" s="1" t="s">
        <v>17</v>
      </c>
      <c r="F606" s="1" t="s">
        <v>1241</v>
      </c>
      <c r="G606" s="1" t="s">
        <v>64</v>
      </c>
      <c r="H606" s="1">
        <v>3</v>
      </c>
      <c r="I606" s="1">
        <f>Table1[[#This Row],[Units_Sold]]*Table1[[#This Row],[Unit_Price]]</f>
        <v>78.81</v>
      </c>
      <c r="J606" s="1">
        <v>26.27</v>
      </c>
      <c r="K606" s="1">
        <v>0</v>
      </c>
      <c r="L606" s="1">
        <v>78.81</v>
      </c>
      <c r="M606" s="1">
        <v>19.940000000000001</v>
      </c>
      <c r="N606" s="1">
        <v>33</v>
      </c>
      <c r="O606" s="1" t="s">
        <v>26</v>
      </c>
      <c r="P606" s="1" t="s">
        <v>20</v>
      </c>
    </row>
    <row r="607" spans="1:16" x14ac:dyDescent="0.3">
      <c r="A607" s="1">
        <v>101132</v>
      </c>
      <c r="B607" s="2">
        <v>45837</v>
      </c>
      <c r="C607" s="1" t="s">
        <v>651</v>
      </c>
      <c r="D607" s="1" t="s">
        <v>70</v>
      </c>
      <c r="E607" s="1" t="s">
        <v>25</v>
      </c>
      <c r="F607" s="1" t="s">
        <v>1241</v>
      </c>
      <c r="G607" s="1" t="s">
        <v>18</v>
      </c>
      <c r="H607" s="1">
        <v>2</v>
      </c>
      <c r="I607" s="1">
        <f>Table1[[#This Row],[Units_Sold]]*Table1[[#This Row],[Unit_Price]]</f>
        <v>300.04000000000002</v>
      </c>
      <c r="J607" s="1">
        <v>150.02000000000001</v>
      </c>
      <c r="K607" s="1">
        <v>0</v>
      </c>
      <c r="L607" s="1">
        <v>300.04000000000002</v>
      </c>
      <c r="M607" s="1">
        <v>113.01</v>
      </c>
      <c r="N607" s="1">
        <v>41</v>
      </c>
      <c r="O607" s="1" t="s">
        <v>19</v>
      </c>
      <c r="P607" s="1" t="s">
        <v>43</v>
      </c>
    </row>
    <row r="608" spans="1:16" x14ac:dyDescent="0.3">
      <c r="A608" s="1">
        <v>100326</v>
      </c>
      <c r="B608" s="2">
        <v>45188</v>
      </c>
      <c r="C608" s="1" t="s">
        <v>652</v>
      </c>
      <c r="D608" s="1" t="s">
        <v>87</v>
      </c>
      <c r="E608" s="1" t="s">
        <v>25</v>
      </c>
      <c r="F608" s="1" t="s">
        <v>1237</v>
      </c>
      <c r="G608" s="1" t="s">
        <v>18</v>
      </c>
      <c r="H608" s="1">
        <v>3</v>
      </c>
      <c r="I608" s="1">
        <f>Table1[[#This Row],[Units_Sold]]*Table1[[#This Row],[Unit_Price]]</f>
        <v>273.12</v>
      </c>
      <c r="J608" s="1">
        <v>91.04</v>
      </c>
      <c r="K608" s="1">
        <v>0</v>
      </c>
      <c r="L608" s="1">
        <v>273.12</v>
      </c>
      <c r="M608" s="1">
        <v>74.739999999999995</v>
      </c>
      <c r="N608" s="1">
        <v>32</v>
      </c>
      <c r="O608" s="1" t="s">
        <v>19</v>
      </c>
      <c r="P608" s="1" t="s">
        <v>81</v>
      </c>
    </row>
    <row r="609" spans="1:16" x14ac:dyDescent="0.3">
      <c r="A609" s="1">
        <v>101019</v>
      </c>
      <c r="B609" s="2">
        <v>45859</v>
      </c>
      <c r="C609" s="1" t="s">
        <v>653</v>
      </c>
      <c r="D609" s="1" t="s">
        <v>39</v>
      </c>
      <c r="E609" s="1" t="s">
        <v>25</v>
      </c>
      <c r="F609" s="1" t="s">
        <v>1237</v>
      </c>
      <c r="G609" s="1" t="s">
        <v>31</v>
      </c>
      <c r="H609" s="1">
        <v>2</v>
      </c>
      <c r="I609" s="1">
        <f>Table1[[#This Row],[Units_Sold]]*Table1[[#This Row],[Unit_Price]]</f>
        <v>332.52</v>
      </c>
      <c r="J609" s="1">
        <v>166.26</v>
      </c>
      <c r="K609" s="1">
        <v>0</v>
      </c>
      <c r="L609" s="1">
        <v>332.52</v>
      </c>
      <c r="M609" s="1">
        <v>103.33</v>
      </c>
      <c r="N609" s="1">
        <v>36</v>
      </c>
      <c r="O609" s="1" t="s">
        <v>26</v>
      </c>
      <c r="P609" s="1" t="s">
        <v>81</v>
      </c>
    </row>
    <row r="610" spans="1:16" x14ac:dyDescent="0.3">
      <c r="A610" s="1">
        <v>100499</v>
      </c>
      <c r="B610" s="2">
        <v>45905</v>
      </c>
      <c r="C610" s="1" t="s">
        <v>654</v>
      </c>
      <c r="D610" s="1" t="s">
        <v>59</v>
      </c>
      <c r="E610" s="1" t="s">
        <v>17</v>
      </c>
      <c r="F610" s="1" t="s">
        <v>1241</v>
      </c>
      <c r="G610" s="1" t="s">
        <v>48</v>
      </c>
      <c r="H610" s="1">
        <v>1</v>
      </c>
      <c r="I610" s="1">
        <f>Table1[[#This Row],[Units_Sold]]*Table1[[#This Row],[Unit_Price]]</f>
        <v>31.4</v>
      </c>
      <c r="J610" s="1">
        <v>31.4</v>
      </c>
      <c r="K610" s="1">
        <v>0</v>
      </c>
      <c r="L610" s="1">
        <v>31.4</v>
      </c>
      <c r="M610" s="1">
        <v>7</v>
      </c>
      <c r="N610" s="1">
        <v>41</v>
      </c>
      <c r="O610" s="1" t="s">
        <v>26</v>
      </c>
      <c r="P610" s="1" t="s">
        <v>27</v>
      </c>
    </row>
    <row r="611" spans="1:16" x14ac:dyDescent="0.3">
      <c r="A611" s="1">
        <v>100665</v>
      </c>
      <c r="B611" s="2">
        <v>45494</v>
      </c>
      <c r="C611" s="1" t="s">
        <v>655</v>
      </c>
      <c r="D611" s="1" t="s">
        <v>70</v>
      </c>
      <c r="E611" s="1" t="s">
        <v>25</v>
      </c>
      <c r="F611" s="1" t="s">
        <v>1237</v>
      </c>
      <c r="G611" s="1" t="s">
        <v>18</v>
      </c>
      <c r="H611" s="1">
        <v>2</v>
      </c>
      <c r="I611" s="1">
        <f>Table1[[#This Row],[Units_Sold]]*Table1[[#This Row],[Unit_Price]]</f>
        <v>302.95999999999998</v>
      </c>
      <c r="J611" s="1">
        <v>151.47999999999999</v>
      </c>
      <c r="K611" s="1">
        <v>0</v>
      </c>
      <c r="L611" s="1">
        <v>302.95999999999998</v>
      </c>
      <c r="M611" s="1">
        <v>94.41</v>
      </c>
      <c r="N611" s="1">
        <v>23</v>
      </c>
      <c r="O611" s="1" t="s">
        <v>26</v>
      </c>
      <c r="P611" s="1" t="s">
        <v>27</v>
      </c>
    </row>
    <row r="612" spans="1:16" x14ac:dyDescent="0.3">
      <c r="A612" s="1">
        <v>100918</v>
      </c>
      <c r="B612" s="2">
        <v>45102</v>
      </c>
      <c r="C612" s="1" t="s">
        <v>656</v>
      </c>
      <c r="D612" s="1" t="s">
        <v>87</v>
      </c>
      <c r="E612" s="1" t="s">
        <v>25</v>
      </c>
      <c r="F612" s="1" t="s">
        <v>1241</v>
      </c>
      <c r="G612" s="1" t="s">
        <v>48</v>
      </c>
      <c r="H612" s="1">
        <v>3</v>
      </c>
      <c r="I612" s="1">
        <f>Table1[[#This Row],[Units_Sold]]*Table1[[#This Row],[Unit_Price]]</f>
        <v>220.56</v>
      </c>
      <c r="J612" s="1">
        <v>73.52</v>
      </c>
      <c r="K612" s="1">
        <v>0</v>
      </c>
      <c r="L612" s="1">
        <v>220.56</v>
      </c>
      <c r="M612" s="1">
        <v>53.82</v>
      </c>
      <c r="N612" s="1">
        <v>18</v>
      </c>
      <c r="O612" s="1" t="s">
        <v>19</v>
      </c>
      <c r="P612" s="1" t="s">
        <v>81</v>
      </c>
    </row>
    <row r="613" spans="1:16" x14ac:dyDescent="0.3">
      <c r="A613" s="1">
        <v>100495</v>
      </c>
      <c r="B613" s="2">
        <v>45158</v>
      </c>
      <c r="C613" s="1" t="s">
        <v>657</v>
      </c>
      <c r="D613" s="1" t="s">
        <v>100</v>
      </c>
      <c r="E613" s="1" t="s">
        <v>25</v>
      </c>
      <c r="F613" s="1" t="s">
        <v>1238</v>
      </c>
      <c r="G613" s="1" t="s">
        <v>18</v>
      </c>
      <c r="H613" s="1">
        <v>4</v>
      </c>
      <c r="I613" s="1">
        <f>Table1[[#This Row],[Units_Sold]]*Table1[[#This Row],[Unit_Price]]</f>
        <v>491.4</v>
      </c>
      <c r="J613" s="1">
        <v>122.85</v>
      </c>
      <c r="K613" s="1">
        <v>0</v>
      </c>
      <c r="L613" s="1">
        <v>491.4</v>
      </c>
      <c r="M613" s="1">
        <v>152.88</v>
      </c>
      <c r="N613" s="1">
        <v>26</v>
      </c>
      <c r="O613" s="1" t="s">
        <v>26</v>
      </c>
      <c r="P613" s="1" t="s">
        <v>35</v>
      </c>
    </row>
    <row r="614" spans="1:16" x14ac:dyDescent="0.3">
      <c r="A614" s="1">
        <v>100338</v>
      </c>
      <c r="B614" s="2">
        <v>45387</v>
      </c>
      <c r="C614" s="1" t="s">
        <v>658</v>
      </c>
      <c r="D614" s="1" t="s">
        <v>29</v>
      </c>
      <c r="E614" s="1" t="s">
        <v>30</v>
      </c>
      <c r="F614" s="1" t="s">
        <v>1241</v>
      </c>
      <c r="G614" s="1" t="s">
        <v>18</v>
      </c>
      <c r="H614" s="1">
        <v>1</v>
      </c>
      <c r="I614" s="1">
        <f>Table1[[#This Row],[Units_Sold]]*Table1[[#This Row],[Unit_Price]]</f>
        <v>18.12</v>
      </c>
      <c r="J614" s="1">
        <v>18.12</v>
      </c>
      <c r="K614" s="1">
        <v>5</v>
      </c>
      <c r="L614" s="1">
        <v>17.21</v>
      </c>
      <c r="M614" s="1">
        <v>3.92</v>
      </c>
      <c r="N614" s="1">
        <v>38</v>
      </c>
      <c r="O614" s="1" t="s">
        <v>19</v>
      </c>
      <c r="P614" s="1" t="s">
        <v>46</v>
      </c>
    </row>
    <row r="615" spans="1:16" x14ac:dyDescent="0.3">
      <c r="A615" s="1">
        <v>100963</v>
      </c>
      <c r="B615" s="2">
        <v>45099</v>
      </c>
      <c r="C615" s="1" t="s">
        <v>659</v>
      </c>
      <c r="D615" s="1" t="s">
        <v>53</v>
      </c>
      <c r="E615" s="1" t="s">
        <v>30</v>
      </c>
      <c r="F615" s="1" t="s">
        <v>1241</v>
      </c>
      <c r="G615" s="1" t="s">
        <v>31</v>
      </c>
      <c r="H615" s="1">
        <v>3</v>
      </c>
      <c r="I615" s="1">
        <f>Table1[[#This Row],[Units_Sold]]*Table1[[#This Row],[Unit_Price]]</f>
        <v>69.84</v>
      </c>
      <c r="J615" s="1">
        <v>23.28</v>
      </c>
      <c r="K615" s="1">
        <v>10</v>
      </c>
      <c r="L615" s="1">
        <v>62.86</v>
      </c>
      <c r="M615" s="1">
        <v>23.53</v>
      </c>
      <c r="N615" s="1">
        <v>25</v>
      </c>
      <c r="O615" s="1" t="s">
        <v>26</v>
      </c>
      <c r="P615" s="1" t="s">
        <v>20</v>
      </c>
    </row>
    <row r="616" spans="1:16" x14ac:dyDescent="0.3">
      <c r="A616" s="1">
        <v>100164</v>
      </c>
      <c r="B616" s="2">
        <v>45708</v>
      </c>
      <c r="C616" s="1" t="s">
        <v>660</v>
      </c>
      <c r="D616" s="1" t="s">
        <v>42</v>
      </c>
      <c r="E616" s="1" t="s">
        <v>25</v>
      </c>
      <c r="F616" s="1" t="s">
        <v>1239</v>
      </c>
      <c r="G616" s="1" t="s">
        <v>18</v>
      </c>
      <c r="H616" s="1">
        <v>1</v>
      </c>
      <c r="I616" s="1">
        <f>Table1[[#This Row],[Units_Sold]]*Table1[[#This Row],[Unit_Price]]</f>
        <v>168.43</v>
      </c>
      <c r="J616" s="1">
        <v>168.43</v>
      </c>
      <c r="K616" s="1">
        <v>40</v>
      </c>
      <c r="L616" s="1">
        <v>101.06</v>
      </c>
      <c r="M616" s="1">
        <v>40.479999999999997</v>
      </c>
      <c r="N616" s="1">
        <v>16</v>
      </c>
      <c r="O616" s="1" t="s">
        <v>26</v>
      </c>
      <c r="P616" s="1" t="s">
        <v>51</v>
      </c>
    </row>
    <row r="617" spans="1:16" x14ac:dyDescent="0.3">
      <c r="A617" s="1">
        <v>100028</v>
      </c>
      <c r="B617" s="2">
        <v>45536</v>
      </c>
      <c r="C617" s="1" t="s">
        <v>661</v>
      </c>
      <c r="D617" s="1" t="s">
        <v>24</v>
      </c>
      <c r="E617" s="1" t="s">
        <v>25</v>
      </c>
      <c r="F617" s="1" t="s">
        <v>1241</v>
      </c>
      <c r="G617" s="1" t="s">
        <v>18</v>
      </c>
      <c r="H617" s="1">
        <v>5</v>
      </c>
      <c r="I617" s="1">
        <f>Table1[[#This Row],[Units_Sold]]*Table1[[#This Row],[Unit_Price]]</f>
        <v>462.65</v>
      </c>
      <c r="J617" s="1">
        <v>92.53</v>
      </c>
      <c r="K617" s="1">
        <v>0</v>
      </c>
      <c r="L617" s="1">
        <v>462.65</v>
      </c>
      <c r="M617" s="1">
        <v>134.03</v>
      </c>
      <c r="N617" s="1">
        <v>34</v>
      </c>
      <c r="O617" s="1" t="s">
        <v>19</v>
      </c>
      <c r="P617" s="1" t="s">
        <v>51</v>
      </c>
    </row>
    <row r="618" spans="1:16" x14ac:dyDescent="0.3">
      <c r="A618" s="1">
        <v>100516</v>
      </c>
      <c r="B618" s="2">
        <v>45092</v>
      </c>
      <c r="C618" s="1" t="s">
        <v>662</v>
      </c>
      <c r="D618" s="1" t="s">
        <v>66</v>
      </c>
      <c r="E618" s="1" t="s">
        <v>17</v>
      </c>
      <c r="F618" s="1" t="s">
        <v>1238</v>
      </c>
      <c r="G618" s="1" t="s">
        <v>18</v>
      </c>
      <c r="H618" s="1">
        <v>2</v>
      </c>
      <c r="I618" s="1">
        <f>Table1[[#This Row],[Units_Sold]]*Table1[[#This Row],[Unit_Price]]</f>
        <v>257.2</v>
      </c>
      <c r="J618" s="1">
        <v>128.6</v>
      </c>
      <c r="K618" s="1">
        <v>20</v>
      </c>
      <c r="L618" s="1">
        <v>205.76</v>
      </c>
      <c r="M618" s="1">
        <v>49.82</v>
      </c>
      <c r="N618" s="1">
        <v>32</v>
      </c>
      <c r="O618" s="1" t="s">
        <v>26</v>
      </c>
      <c r="P618" s="1" t="s">
        <v>32</v>
      </c>
    </row>
    <row r="619" spans="1:16" x14ac:dyDescent="0.3">
      <c r="A619" s="1">
        <v>100193</v>
      </c>
      <c r="B619" s="2">
        <v>45441</v>
      </c>
      <c r="C619" s="1" t="s">
        <v>663</v>
      </c>
      <c r="D619" s="1" t="s">
        <v>42</v>
      </c>
      <c r="E619" s="1" t="s">
        <v>25</v>
      </c>
      <c r="F619" s="1" t="s">
        <v>1237</v>
      </c>
      <c r="G619" s="1" t="s">
        <v>18</v>
      </c>
      <c r="H619" s="1">
        <v>4</v>
      </c>
      <c r="I619" s="1">
        <f>Table1[[#This Row],[Units_Sold]]*Table1[[#This Row],[Unit_Price]]</f>
        <v>688.64</v>
      </c>
      <c r="J619" s="1">
        <v>172.16</v>
      </c>
      <c r="K619" s="1">
        <v>0</v>
      </c>
      <c r="L619" s="1">
        <v>688.64</v>
      </c>
      <c r="M619" s="1">
        <v>193.87</v>
      </c>
      <c r="N619" s="1">
        <v>31</v>
      </c>
      <c r="O619" s="1" t="s">
        <v>19</v>
      </c>
      <c r="P619" s="1" t="s">
        <v>43</v>
      </c>
    </row>
    <row r="620" spans="1:16" x14ac:dyDescent="0.3">
      <c r="A620" s="1">
        <v>101103</v>
      </c>
      <c r="B620" s="2">
        <v>45769</v>
      </c>
      <c r="C620" s="1" t="s">
        <v>664</v>
      </c>
      <c r="D620" s="1" t="s">
        <v>39</v>
      </c>
      <c r="E620" s="1" t="s">
        <v>25</v>
      </c>
      <c r="F620" s="1" t="s">
        <v>1239</v>
      </c>
      <c r="G620" s="1" t="s">
        <v>18</v>
      </c>
      <c r="H620" s="1">
        <v>5</v>
      </c>
      <c r="I620" s="1">
        <f>Table1[[#This Row],[Units_Sold]]*Table1[[#This Row],[Unit_Price]]</f>
        <v>1000.25</v>
      </c>
      <c r="J620" s="1">
        <v>200.05</v>
      </c>
      <c r="K620" s="1">
        <v>0</v>
      </c>
      <c r="L620" s="1">
        <v>1000.25</v>
      </c>
      <c r="M620" s="1">
        <v>230.51</v>
      </c>
      <c r="N620" s="1">
        <v>26</v>
      </c>
      <c r="O620" s="1" t="s">
        <v>19</v>
      </c>
      <c r="P620" s="1" t="s">
        <v>35</v>
      </c>
    </row>
    <row r="621" spans="1:16" x14ac:dyDescent="0.3">
      <c r="A621" s="1">
        <v>100169</v>
      </c>
      <c r="B621" s="2">
        <v>45235</v>
      </c>
      <c r="C621" s="1" t="s">
        <v>665</v>
      </c>
      <c r="D621" s="1" t="s">
        <v>87</v>
      </c>
      <c r="E621" s="1" t="s">
        <v>25</v>
      </c>
      <c r="F621" s="1" t="s">
        <v>1238</v>
      </c>
      <c r="G621" s="1" t="s">
        <v>31</v>
      </c>
      <c r="H621" s="1">
        <v>2</v>
      </c>
      <c r="I621" s="1">
        <f>Table1[[#This Row],[Units_Sold]]*Table1[[#This Row],[Unit_Price]]</f>
        <v>158.66</v>
      </c>
      <c r="J621" s="1">
        <v>79.33</v>
      </c>
      <c r="K621" s="1">
        <v>10</v>
      </c>
      <c r="L621" s="1">
        <v>142.79</v>
      </c>
      <c r="M621" s="1">
        <v>45.82</v>
      </c>
      <c r="N621" s="1">
        <v>33</v>
      </c>
      <c r="O621" s="1" t="s">
        <v>26</v>
      </c>
      <c r="P621" s="1" t="s">
        <v>27</v>
      </c>
    </row>
    <row r="622" spans="1:16" x14ac:dyDescent="0.3">
      <c r="A622" s="1">
        <v>101058</v>
      </c>
      <c r="B622" s="2">
        <v>45800</v>
      </c>
      <c r="C622" s="1" t="s">
        <v>666</v>
      </c>
      <c r="D622" s="1" t="s">
        <v>24</v>
      </c>
      <c r="E622" s="1" t="s">
        <v>25</v>
      </c>
      <c r="F622" s="1" t="s">
        <v>1238</v>
      </c>
      <c r="G622" s="1" t="s">
        <v>31</v>
      </c>
      <c r="H622" s="1">
        <v>4</v>
      </c>
      <c r="I622" s="1">
        <f>Table1[[#This Row],[Units_Sold]]*Table1[[#This Row],[Unit_Price]]</f>
        <v>353.36</v>
      </c>
      <c r="J622" s="1">
        <v>88.34</v>
      </c>
      <c r="K622" s="1">
        <v>20</v>
      </c>
      <c r="L622" s="1">
        <v>282.69</v>
      </c>
      <c r="M622" s="1">
        <v>73.42</v>
      </c>
      <c r="N622" s="1">
        <v>29</v>
      </c>
      <c r="O622" s="1" t="s">
        <v>26</v>
      </c>
      <c r="P622" s="1" t="s">
        <v>35</v>
      </c>
    </row>
    <row r="623" spans="1:16" x14ac:dyDescent="0.3">
      <c r="A623" s="1">
        <v>100173</v>
      </c>
      <c r="B623" s="2">
        <v>45717</v>
      </c>
      <c r="C623" s="1" t="s">
        <v>667</v>
      </c>
      <c r="D623" s="1" t="s">
        <v>77</v>
      </c>
      <c r="E623" s="1" t="s">
        <v>30</v>
      </c>
      <c r="F623" s="1" t="s">
        <v>1238</v>
      </c>
      <c r="G623" s="1" t="s">
        <v>18</v>
      </c>
      <c r="H623" s="1">
        <v>1</v>
      </c>
      <c r="I623" s="1">
        <f>Table1[[#This Row],[Units_Sold]]*Table1[[#This Row],[Unit_Price]]</f>
        <v>41.31</v>
      </c>
      <c r="J623" s="1">
        <v>41.31</v>
      </c>
      <c r="K623" s="1">
        <v>0</v>
      </c>
      <c r="L623" s="1">
        <v>41.31</v>
      </c>
      <c r="M623" s="1">
        <v>16.739999999999998</v>
      </c>
      <c r="N623" s="1">
        <v>21</v>
      </c>
      <c r="O623" s="1" t="s">
        <v>26</v>
      </c>
      <c r="P623" s="1" t="s">
        <v>35</v>
      </c>
    </row>
    <row r="624" spans="1:16" x14ac:dyDescent="0.3">
      <c r="A624" s="1">
        <v>100518</v>
      </c>
      <c r="B624" s="2">
        <v>45604</v>
      </c>
      <c r="C624" s="1" t="s">
        <v>668</v>
      </c>
      <c r="D624" s="1" t="s">
        <v>22</v>
      </c>
      <c r="E624" s="1" t="s">
        <v>17</v>
      </c>
      <c r="F624" s="1" t="s">
        <v>1237</v>
      </c>
      <c r="G624" s="1" t="s">
        <v>18</v>
      </c>
      <c r="H624" s="1">
        <v>1</v>
      </c>
      <c r="I624" s="1">
        <f>Table1[[#This Row],[Units_Sold]]*Table1[[#This Row],[Unit_Price]]</f>
        <v>24.59</v>
      </c>
      <c r="J624" s="1">
        <v>24.59</v>
      </c>
      <c r="K624" s="1">
        <v>0</v>
      </c>
      <c r="L624" s="1">
        <v>24.59</v>
      </c>
      <c r="M624" s="1">
        <v>5.78</v>
      </c>
      <c r="N624" s="1">
        <v>24</v>
      </c>
      <c r="O624" s="1" t="s">
        <v>26</v>
      </c>
      <c r="P624" s="1" t="s">
        <v>27</v>
      </c>
    </row>
    <row r="625" spans="1:16" x14ac:dyDescent="0.3">
      <c r="A625" s="1">
        <v>100968</v>
      </c>
      <c r="B625" s="2">
        <v>45461</v>
      </c>
      <c r="C625" s="1" t="s">
        <v>669</v>
      </c>
      <c r="D625" s="1" t="s">
        <v>39</v>
      </c>
      <c r="E625" s="1" t="s">
        <v>25</v>
      </c>
      <c r="F625" s="1" t="s">
        <v>1238</v>
      </c>
      <c r="G625" s="1" t="s">
        <v>64</v>
      </c>
      <c r="H625" s="1">
        <v>4</v>
      </c>
      <c r="I625" s="1">
        <f>Table1[[#This Row],[Units_Sold]]*Table1[[#This Row],[Unit_Price]]</f>
        <v>691</v>
      </c>
      <c r="J625" s="1">
        <v>172.75</v>
      </c>
      <c r="K625" s="1">
        <v>5</v>
      </c>
      <c r="L625" s="1">
        <v>656.45</v>
      </c>
      <c r="M625" s="1">
        <v>191.99</v>
      </c>
      <c r="N625" s="1">
        <v>32</v>
      </c>
      <c r="O625" s="1" t="s">
        <v>26</v>
      </c>
      <c r="P625" s="1" t="s">
        <v>46</v>
      </c>
    </row>
    <row r="626" spans="1:16" x14ac:dyDescent="0.3">
      <c r="A626" s="1">
        <v>100701</v>
      </c>
      <c r="B626" s="2">
        <v>45640</v>
      </c>
      <c r="C626" s="1" t="s">
        <v>670</v>
      </c>
      <c r="D626" s="1" t="s">
        <v>68</v>
      </c>
      <c r="E626" s="1" t="s">
        <v>25</v>
      </c>
      <c r="F626" s="1" t="s">
        <v>1239</v>
      </c>
      <c r="G626" s="1" t="s">
        <v>31</v>
      </c>
      <c r="H626" s="1">
        <v>5</v>
      </c>
      <c r="I626" s="1">
        <f>Table1[[#This Row],[Units_Sold]]*Table1[[#This Row],[Unit_Price]]</f>
        <v>1232.3499999999999</v>
      </c>
      <c r="J626" s="1">
        <v>246.47</v>
      </c>
      <c r="K626" s="1">
        <v>5</v>
      </c>
      <c r="L626" s="1">
        <v>1170.73</v>
      </c>
      <c r="M626" s="1">
        <v>364.43</v>
      </c>
      <c r="N626" s="1">
        <v>30</v>
      </c>
      <c r="O626" s="1" t="s">
        <v>19</v>
      </c>
      <c r="P626" s="1" t="s">
        <v>20</v>
      </c>
    </row>
    <row r="627" spans="1:16" x14ac:dyDescent="0.3">
      <c r="A627" s="1">
        <v>100491</v>
      </c>
      <c r="B627" s="2">
        <v>45582</v>
      </c>
      <c r="C627" s="1" t="s">
        <v>671</v>
      </c>
      <c r="D627" s="1" t="s">
        <v>53</v>
      </c>
      <c r="E627" s="1" t="s">
        <v>30</v>
      </c>
      <c r="F627" s="1" t="s">
        <v>1241</v>
      </c>
      <c r="G627" s="1" t="s">
        <v>31</v>
      </c>
      <c r="H627" s="1">
        <v>5</v>
      </c>
      <c r="I627" s="1">
        <f>Table1[[#This Row],[Units_Sold]]*Table1[[#This Row],[Unit_Price]]</f>
        <v>122.8</v>
      </c>
      <c r="J627" s="1">
        <v>24.56</v>
      </c>
      <c r="K627" s="1">
        <v>5</v>
      </c>
      <c r="L627" s="1">
        <v>116.66</v>
      </c>
      <c r="M627" s="1">
        <v>47.27</v>
      </c>
      <c r="N627" s="1">
        <v>42</v>
      </c>
      <c r="O627" s="1" t="s">
        <v>19</v>
      </c>
      <c r="P627" s="1" t="s">
        <v>20</v>
      </c>
    </row>
    <row r="628" spans="1:16" x14ac:dyDescent="0.3">
      <c r="A628" s="1">
        <v>100073</v>
      </c>
      <c r="B628" s="2">
        <v>45362</v>
      </c>
      <c r="C628" s="1" t="s">
        <v>672</v>
      </c>
      <c r="D628" s="1" t="s">
        <v>45</v>
      </c>
      <c r="E628" s="1" t="s">
        <v>30</v>
      </c>
      <c r="F628" s="1" t="s">
        <v>1237</v>
      </c>
      <c r="G628" s="1" t="s">
        <v>18</v>
      </c>
      <c r="H628" s="1">
        <v>1</v>
      </c>
      <c r="I628" s="1">
        <f>Table1[[#This Row],[Units_Sold]]*Table1[[#This Row],[Unit_Price]]</f>
        <v>12.83</v>
      </c>
      <c r="J628" s="1">
        <v>12.83</v>
      </c>
      <c r="K628" s="1">
        <v>5</v>
      </c>
      <c r="L628" s="1">
        <v>12.19</v>
      </c>
      <c r="M628" s="1">
        <v>4.3099999999999996</v>
      </c>
      <c r="N628" s="1">
        <v>45</v>
      </c>
      <c r="O628" s="1" t="s">
        <v>26</v>
      </c>
      <c r="P628" s="1" t="s">
        <v>27</v>
      </c>
    </row>
    <row r="629" spans="1:16" x14ac:dyDescent="0.3">
      <c r="A629" s="1">
        <v>100980</v>
      </c>
      <c r="B629" s="2">
        <v>45586</v>
      </c>
      <c r="C629" s="1" t="s">
        <v>673</v>
      </c>
      <c r="D629" s="1" t="s">
        <v>66</v>
      </c>
      <c r="E629" s="1" t="s">
        <v>17</v>
      </c>
      <c r="F629" s="1" t="s">
        <v>1237</v>
      </c>
      <c r="G629" s="1" t="s">
        <v>31</v>
      </c>
      <c r="H629" s="1">
        <v>3</v>
      </c>
      <c r="I629" s="1">
        <f>Table1[[#This Row],[Units_Sold]]*Table1[[#This Row],[Unit_Price]]</f>
        <v>319.74</v>
      </c>
      <c r="J629" s="1">
        <v>106.58</v>
      </c>
      <c r="K629" s="1">
        <v>5</v>
      </c>
      <c r="L629" s="1">
        <v>303.75</v>
      </c>
      <c r="M629" s="1">
        <v>106.97</v>
      </c>
      <c r="N629" s="1">
        <v>42</v>
      </c>
      <c r="O629" s="1" t="s">
        <v>26</v>
      </c>
      <c r="P629" s="1" t="s">
        <v>32</v>
      </c>
    </row>
    <row r="630" spans="1:16" x14ac:dyDescent="0.3">
      <c r="A630" s="1">
        <v>100587</v>
      </c>
      <c r="B630" s="2">
        <v>45455</v>
      </c>
      <c r="C630" s="1" t="s">
        <v>674</v>
      </c>
      <c r="D630" s="1" t="s">
        <v>70</v>
      </c>
      <c r="E630" s="1" t="s">
        <v>25</v>
      </c>
      <c r="F630" s="1" t="s">
        <v>1238</v>
      </c>
      <c r="G630" s="1" t="s">
        <v>48</v>
      </c>
      <c r="H630" s="1">
        <v>2</v>
      </c>
      <c r="I630" s="1">
        <f>Table1[[#This Row],[Units_Sold]]*Table1[[#This Row],[Unit_Price]]</f>
        <v>318.72000000000003</v>
      </c>
      <c r="J630" s="1">
        <v>159.36000000000001</v>
      </c>
      <c r="K630" s="1">
        <v>20</v>
      </c>
      <c r="L630" s="1">
        <v>254.98</v>
      </c>
      <c r="M630" s="1">
        <v>91.92</v>
      </c>
      <c r="N630" s="1">
        <v>27</v>
      </c>
      <c r="O630" s="1" t="s">
        <v>19</v>
      </c>
      <c r="P630" s="1" t="s">
        <v>20</v>
      </c>
    </row>
    <row r="631" spans="1:16" x14ac:dyDescent="0.3">
      <c r="A631" s="1">
        <v>100234</v>
      </c>
      <c r="B631" s="2">
        <v>45884</v>
      </c>
      <c r="C631" s="1" t="s">
        <v>675</v>
      </c>
      <c r="D631" s="1" t="s">
        <v>24</v>
      </c>
      <c r="E631" s="1" t="s">
        <v>25</v>
      </c>
      <c r="F631" s="1" t="s">
        <v>1238</v>
      </c>
      <c r="G631" s="1" t="s">
        <v>18</v>
      </c>
      <c r="H631" s="1">
        <v>2</v>
      </c>
      <c r="I631" s="1">
        <f>Table1[[#This Row],[Units_Sold]]*Table1[[#This Row],[Unit_Price]]</f>
        <v>194.78</v>
      </c>
      <c r="J631" s="1">
        <v>97.39</v>
      </c>
      <c r="K631" s="1">
        <v>0</v>
      </c>
      <c r="L631" s="1">
        <v>194.78</v>
      </c>
      <c r="M631" s="1">
        <v>58.41</v>
      </c>
      <c r="N631" s="1">
        <v>18</v>
      </c>
      <c r="O631" s="1" t="s">
        <v>26</v>
      </c>
      <c r="P631" s="1" t="s">
        <v>35</v>
      </c>
    </row>
    <row r="632" spans="1:16" x14ac:dyDescent="0.3">
      <c r="A632" s="1">
        <v>100214</v>
      </c>
      <c r="B632" s="2">
        <v>45251</v>
      </c>
      <c r="C632" s="1" t="s">
        <v>676</v>
      </c>
      <c r="D632" s="1" t="s">
        <v>53</v>
      </c>
      <c r="E632" s="1" t="s">
        <v>30</v>
      </c>
      <c r="F632" s="1" t="s">
        <v>1240</v>
      </c>
      <c r="G632" s="1" t="s">
        <v>31</v>
      </c>
      <c r="H632" s="1">
        <v>2</v>
      </c>
      <c r="I632" s="1">
        <f>Table1[[#This Row],[Units_Sold]]*Table1[[#This Row],[Unit_Price]]</f>
        <v>45.06</v>
      </c>
      <c r="J632" s="1">
        <v>22.53</v>
      </c>
      <c r="K632" s="1">
        <v>5</v>
      </c>
      <c r="L632" s="1">
        <v>42.81</v>
      </c>
      <c r="M632" s="1">
        <v>11.87</v>
      </c>
      <c r="N632" s="1">
        <v>29</v>
      </c>
      <c r="O632" s="1" t="s">
        <v>26</v>
      </c>
      <c r="P632" s="1" t="s">
        <v>27</v>
      </c>
    </row>
    <row r="633" spans="1:16" x14ac:dyDescent="0.3">
      <c r="A633" s="1">
        <v>100946</v>
      </c>
      <c r="B633" s="2">
        <v>45794</v>
      </c>
      <c r="C633" s="1" t="s">
        <v>677</v>
      </c>
      <c r="D633" s="1" t="s">
        <v>66</v>
      </c>
      <c r="E633" s="1" t="s">
        <v>17</v>
      </c>
      <c r="F633" s="1" t="s">
        <v>1241</v>
      </c>
      <c r="G633" s="1" t="s">
        <v>18</v>
      </c>
      <c r="H633" s="1">
        <v>4</v>
      </c>
      <c r="I633" s="1">
        <f>Table1[[#This Row],[Units_Sold]]*Table1[[#This Row],[Unit_Price]]</f>
        <v>496.48</v>
      </c>
      <c r="J633" s="1">
        <v>124.12</v>
      </c>
      <c r="K633" s="1">
        <v>5</v>
      </c>
      <c r="L633" s="1">
        <v>471.66</v>
      </c>
      <c r="M633" s="1">
        <v>155.6</v>
      </c>
      <c r="N633" s="1">
        <v>27</v>
      </c>
      <c r="O633" s="1" t="s">
        <v>19</v>
      </c>
      <c r="P633" s="1" t="s">
        <v>51</v>
      </c>
    </row>
    <row r="634" spans="1:16" x14ac:dyDescent="0.3">
      <c r="A634" s="1">
        <v>100132</v>
      </c>
      <c r="B634" s="2">
        <v>45289</v>
      </c>
      <c r="C634" s="1" t="s">
        <v>678</v>
      </c>
      <c r="D634" s="1" t="s">
        <v>34</v>
      </c>
      <c r="E634" s="1" t="s">
        <v>30</v>
      </c>
      <c r="F634" s="1" t="s">
        <v>1237</v>
      </c>
      <c r="G634" s="1" t="s">
        <v>64</v>
      </c>
      <c r="H634" s="1">
        <v>2</v>
      </c>
      <c r="I634" s="1">
        <f>Table1[[#This Row],[Units_Sold]]*Table1[[#This Row],[Unit_Price]]</f>
        <v>113.7</v>
      </c>
      <c r="J634" s="1">
        <v>56.85</v>
      </c>
      <c r="K634" s="1">
        <v>0</v>
      </c>
      <c r="L634" s="1">
        <v>113.7</v>
      </c>
      <c r="M634" s="1">
        <v>30.06</v>
      </c>
      <c r="N634" s="1">
        <v>16</v>
      </c>
      <c r="O634" s="1" t="s">
        <v>19</v>
      </c>
      <c r="P634" s="1" t="s">
        <v>43</v>
      </c>
    </row>
    <row r="635" spans="1:16" x14ac:dyDescent="0.3">
      <c r="A635" s="1">
        <v>101155</v>
      </c>
      <c r="B635" s="2">
        <v>45908</v>
      </c>
      <c r="C635" s="1" t="s">
        <v>679</v>
      </c>
      <c r="D635" s="1" t="s">
        <v>87</v>
      </c>
      <c r="E635" s="1" t="s">
        <v>25</v>
      </c>
      <c r="F635" s="1" t="s">
        <v>1241</v>
      </c>
      <c r="G635" s="1" t="s">
        <v>18</v>
      </c>
      <c r="H635" s="1">
        <v>2</v>
      </c>
      <c r="I635" s="1">
        <f>Table1[[#This Row],[Units_Sold]]*Table1[[#This Row],[Unit_Price]]</f>
        <v>157.52000000000001</v>
      </c>
      <c r="J635" s="1">
        <v>78.760000000000005</v>
      </c>
      <c r="K635" s="1">
        <v>20</v>
      </c>
      <c r="L635" s="1">
        <v>126.02</v>
      </c>
      <c r="M635" s="1">
        <v>38.71</v>
      </c>
      <c r="N635" s="1">
        <v>36</v>
      </c>
      <c r="O635" s="1" t="s">
        <v>26</v>
      </c>
      <c r="P635" s="1" t="s">
        <v>27</v>
      </c>
    </row>
    <row r="636" spans="1:16" x14ac:dyDescent="0.3">
      <c r="A636" s="1">
        <v>100732</v>
      </c>
      <c r="B636" s="2">
        <v>45528</v>
      </c>
      <c r="C636" s="1" t="s">
        <v>680</v>
      </c>
      <c r="D636" s="1" t="s">
        <v>73</v>
      </c>
      <c r="E636" s="1" t="s">
        <v>25</v>
      </c>
      <c r="F636" s="1" t="s">
        <v>1238</v>
      </c>
      <c r="G636" s="1" t="s">
        <v>18</v>
      </c>
      <c r="H636" s="1">
        <v>4</v>
      </c>
      <c r="I636" s="1">
        <f>Table1[[#This Row],[Units_Sold]]*Table1[[#This Row],[Unit_Price]]</f>
        <v>130.08000000000001</v>
      </c>
      <c r="J636" s="1">
        <v>32.520000000000003</v>
      </c>
      <c r="K636" s="1">
        <v>20</v>
      </c>
      <c r="L636" s="1">
        <v>104.06</v>
      </c>
      <c r="M636" s="1">
        <v>17.75</v>
      </c>
      <c r="N636" s="1">
        <v>21</v>
      </c>
      <c r="O636" s="1" t="s">
        <v>19</v>
      </c>
      <c r="P636" s="1" t="s">
        <v>20</v>
      </c>
    </row>
    <row r="637" spans="1:16" x14ac:dyDescent="0.3">
      <c r="A637" s="1">
        <v>100940</v>
      </c>
      <c r="B637" s="2">
        <v>45541</v>
      </c>
      <c r="C637" s="1" t="s">
        <v>681</v>
      </c>
      <c r="D637" s="1" t="s">
        <v>66</v>
      </c>
      <c r="E637" s="1" t="s">
        <v>17</v>
      </c>
      <c r="F637" s="1" t="s">
        <v>1237</v>
      </c>
      <c r="G637" s="1" t="s">
        <v>31</v>
      </c>
      <c r="H637" s="1">
        <v>2</v>
      </c>
      <c r="I637" s="1">
        <f>Table1[[#This Row],[Units_Sold]]*Table1[[#This Row],[Unit_Price]]</f>
        <v>238.88</v>
      </c>
      <c r="J637" s="1">
        <v>119.44</v>
      </c>
      <c r="K637" s="1">
        <v>0</v>
      </c>
      <c r="L637" s="1">
        <v>238.88</v>
      </c>
      <c r="M637" s="1">
        <v>56.35</v>
      </c>
      <c r="N637" s="1">
        <v>48</v>
      </c>
      <c r="O637" s="1" t="s">
        <v>19</v>
      </c>
      <c r="P637" s="1" t="s">
        <v>35</v>
      </c>
    </row>
    <row r="638" spans="1:16" x14ac:dyDescent="0.3">
      <c r="A638" s="1">
        <v>100185</v>
      </c>
      <c r="B638" s="2">
        <v>45647</v>
      </c>
      <c r="C638" s="1" t="s">
        <v>682</v>
      </c>
      <c r="D638" s="1" t="s">
        <v>29</v>
      </c>
      <c r="E638" s="1" t="s">
        <v>30</v>
      </c>
      <c r="F638" s="1" t="s">
        <v>1237</v>
      </c>
      <c r="G638" s="1" t="s">
        <v>31</v>
      </c>
      <c r="H638" s="1">
        <v>3</v>
      </c>
      <c r="I638" s="1">
        <f>Table1[[#This Row],[Units_Sold]]*Table1[[#This Row],[Unit_Price]]</f>
        <v>56.429999999999993</v>
      </c>
      <c r="J638" s="1">
        <v>18.809999999999999</v>
      </c>
      <c r="K638" s="1">
        <v>20</v>
      </c>
      <c r="L638" s="1">
        <v>45.14</v>
      </c>
      <c r="M638" s="1">
        <v>13.47</v>
      </c>
      <c r="N638" s="1">
        <v>16</v>
      </c>
      <c r="O638" s="1" t="s">
        <v>122</v>
      </c>
      <c r="P638" s="1" t="s">
        <v>51</v>
      </c>
    </row>
    <row r="639" spans="1:16" x14ac:dyDescent="0.3">
      <c r="A639" s="1">
        <v>100041</v>
      </c>
      <c r="B639" s="2">
        <v>45812</v>
      </c>
      <c r="C639" s="1" t="s">
        <v>683</v>
      </c>
      <c r="D639" s="1" t="s">
        <v>24</v>
      </c>
      <c r="E639" s="1" t="s">
        <v>25</v>
      </c>
      <c r="F639" s="1" t="s">
        <v>1241</v>
      </c>
      <c r="G639" s="1" t="s">
        <v>31</v>
      </c>
      <c r="H639" s="1">
        <v>1</v>
      </c>
      <c r="I639" s="1">
        <f>Table1[[#This Row],[Units_Sold]]*Table1[[#This Row],[Unit_Price]]</f>
        <v>103.28</v>
      </c>
      <c r="J639" s="1">
        <v>103.28</v>
      </c>
      <c r="K639" s="1">
        <v>0</v>
      </c>
      <c r="L639" s="1">
        <v>103.28</v>
      </c>
      <c r="M639" s="1">
        <v>39.04</v>
      </c>
      <c r="N639" s="1">
        <v>31</v>
      </c>
      <c r="O639" s="1" t="s">
        <v>26</v>
      </c>
      <c r="P639" s="1" t="s">
        <v>43</v>
      </c>
    </row>
    <row r="640" spans="1:16" x14ac:dyDescent="0.3">
      <c r="A640" s="1">
        <v>100108</v>
      </c>
      <c r="B640" s="2">
        <v>44935</v>
      </c>
      <c r="C640" s="1" t="s">
        <v>684</v>
      </c>
      <c r="D640" s="1" t="s">
        <v>77</v>
      </c>
      <c r="E640" s="1" t="s">
        <v>30</v>
      </c>
      <c r="F640" s="1" t="s">
        <v>1237</v>
      </c>
      <c r="G640" s="1" t="s">
        <v>64</v>
      </c>
      <c r="H640" s="1">
        <v>3</v>
      </c>
      <c r="I640" s="1">
        <f>Table1[[#This Row],[Units_Sold]]*Table1[[#This Row],[Unit_Price]]</f>
        <v>118.85999999999999</v>
      </c>
      <c r="J640" s="1">
        <v>39.619999999999997</v>
      </c>
      <c r="K640" s="1">
        <v>0</v>
      </c>
      <c r="L640" s="1">
        <v>118.86</v>
      </c>
      <c r="M640" s="1">
        <v>40.17</v>
      </c>
      <c r="N640" s="1">
        <v>33</v>
      </c>
      <c r="O640" s="1" t="s">
        <v>19</v>
      </c>
      <c r="P640" s="1" t="s">
        <v>46</v>
      </c>
    </row>
    <row r="641" spans="1:16" x14ac:dyDescent="0.3">
      <c r="A641" s="1">
        <v>100848</v>
      </c>
      <c r="B641" s="2">
        <v>45424</v>
      </c>
      <c r="C641" s="1" t="s">
        <v>685</v>
      </c>
      <c r="D641" s="1" t="s">
        <v>39</v>
      </c>
      <c r="E641" s="1" t="s">
        <v>25</v>
      </c>
      <c r="F641" s="1" t="s">
        <v>1241</v>
      </c>
      <c r="G641" s="1" t="s">
        <v>31</v>
      </c>
      <c r="H641" s="1">
        <v>5</v>
      </c>
      <c r="I641" s="1">
        <f>Table1[[#This Row],[Units_Sold]]*Table1[[#This Row],[Unit_Price]]</f>
        <v>996.94999999999993</v>
      </c>
      <c r="J641" s="1">
        <v>199.39</v>
      </c>
      <c r="K641" s="1">
        <v>0</v>
      </c>
      <c r="L641" s="1">
        <v>996.95</v>
      </c>
      <c r="M641" s="1">
        <v>236.22</v>
      </c>
      <c r="N641" s="1">
        <v>29</v>
      </c>
      <c r="O641" s="1" t="s">
        <v>26</v>
      </c>
      <c r="P641" s="1" t="s">
        <v>20</v>
      </c>
    </row>
    <row r="642" spans="1:16" x14ac:dyDescent="0.3">
      <c r="A642" s="1">
        <v>100568</v>
      </c>
      <c r="B642" s="2">
        <v>45637</v>
      </c>
      <c r="C642" s="1" t="s">
        <v>686</v>
      </c>
      <c r="D642" s="1" t="s">
        <v>87</v>
      </c>
      <c r="E642" s="1" t="s">
        <v>25</v>
      </c>
      <c r="F642" s="1" t="s">
        <v>1238</v>
      </c>
      <c r="G642" s="1" t="s">
        <v>18</v>
      </c>
      <c r="H642" s="1">
        <v>2</v>
      </c>
      <c r="I642" s="1">
        <f>Table1[[#This Row],[Units_Sold]]*Table1[[#This Row],[Unit_Price]]</f>
        <v>178.3</v>
      </c>
      <c r="J642" s="1">
        <v>89.15</v>
      </c>
      <c r="K642" s="1">
        <v>5</v>
      </c>
      <c r="L642" s="1">
        <v>169.38</v>
      </c>
      <c r="M642" s="1">
        <v>52.14</v>
      </c>
      <c r="N642" s="1">
        <v>35</v>
      </c>
      <c r="O642" s="1" t="s">
        <v>19</v>
      </c>
      <c r="P642" s="1" t="s">
        <v>51</v>
      </c>
    </row>
    <row r="643" spans="1:16" x14ac:dyDescent="0.3">
      <c r="A643" s="1">
        <v>100650</v>
      </c>
      <c r="B643" s="2">
        <v>45315</v>
      </c>
      <c r="C643" s="1" t="s">
        <v>687</v>
      </c>
      <c r="D643" s="1" t="s">
        <v>62</v>
      </c>
      <c r="E643" s="1" t="s">
        <v>17</v>
      </c>
      <c r="F643" s="1" t="s">
        <v>1241</v>
      </c>
      <c r="G643" s="1" t="s">
        <v>48</v>
      </c>
      <c r="H643" s="1">
        <v>1</v>
      </c>
      <c r="I643" s="1">
        <f>Table1[[#This Row],[Units_Sold]]*Table1[[#This Row],[Unit_Price]]</f>
        <v>138.97999999999999</v>
      </c>
      <c r="J643" s="1">
        <v>138.97999999999999</v>
      </c>
      <c r="K643" s="1">
        <v>5</v>
      </c>
      <c r="L643" s="1">
        <v>132.03</v>
      </c>
      <c r="M643" s="1">
        <v>36.33</v>
      </c>
      <c r="N643" s="1">
        <v>16</v>
      </c>
      <c r="O643" s="1" t="s">
        <v>26</v>
      </c>
      <c r="P643" s="1" t="s">
        <v>46</v>
      </c>
    </row>
    <row r="644" spans="1:16" x14ac:dyDescent="0.3">
      <c r="A644" s="1">
        <v>101000</v>
      </c>
      <c r="B644" s="2">
        <v>45809</v>
      </c>
      <c r="C644" s="1" t="s">
        <v>688</v>
      </c>
      <c r="D644" s="1" t="s">
        <v>100</v>
      </c>
      <c r="E644" s="1" t="s">
        <v>25</v>
      </c>
      <c r="F644" s="1" t="s">
        <v>1241</v>
      </c>
      <c r="G644" s="1" t="s">
        <v>18</v>
      </c>
      <c r="H644" s="1">
        <v>3</v>
      </c>
      <c r="I644" s="1">
        <f>Table1[[#This Row],[Units_Sold]]*Table1[[#This Row],[Unit_Price]]</f>
        <v>382.14</v>
      </c>
      <c r="J644" s="1">
        <v>127.38</v>
      </c>
      <c r="K644" s="1">
        <v>0</v>
      </c>
      <c r="L644" s="1">
        <v>382.14</v>
      </c>
      <c r="M644" s="1">
        <v>91.64</v>
      </c>
      <c r="N644" s="1">
        <v>27</v>
      </c>
      <c r="O644" s="1" t="s">
        <v>26</v>
      </c>
      <c r="P644" s="1" t="s">
        <v>81</v>
      </c>
    </row>
    <row r="645" spans="1:16" x14ac:dyDescent="0.3">
      <c r="A645" s="1">
        <v>101165</v>
      </c>
      <c r="B645" s="2">
        <v>45436</v>
      </c>
      <c r="C645" s="1" t="s">
        <v>689</v>
      </c>
      <c r="D645" s="1" t="s">
        <v>39</v>
      </c>
      <c r="E645" s="1" t="s">
        <v>25</v>
      </c>
      <c r="F645" s="1" t="s">
        <v>1237</v>
      </c>
      <c r="G645" s="1" t="s">
        <v>64</v>
      </c>
      <c r="H645" s="1">
        <v>3</v>
      </c>
      <c r="I645" s="1">
        <f>Table1[[#This Row],[Units_Sold]]*Table1[[#This Row],[Unit_Price]]</f>
        <v>511.5</v>
      </c>
      <c r="J645" s="1">
        <v>170.5</v>
      </c>
      <c r="K645" s="1">
        <v>20</v>
      </c>
      <c r="L645" s="1">
        <v>409.2</v>
      </c>
      <c r="M645" s="1">
        <v>112.45</v>
      </c>
      <c r="N645" s="1">
        <v>34</v>
      </c>
      <c r="O645" s="1" t="s">
        <v>26</v>
      </c>
      <c r="P645" s="1" t="s">
        <v>27</v>
      </c>
    </row>
    <row r="646" spans="1:16" x14ac:dyDescent="0.3">
      <c r="A646" s="1">
        <v>100483</v>
      </c>
      <c r="B646" s="2">
        <v>45362</v>
      </c>
      <c r="C646" s="1" t="s">
        <v>690</v>
      </c>
      <c r="D646" s="1" t="s">
        <v>68</v>
      </c>
      <c r="E646" s="1" t="s">
        <v>25</v>
      </c>
      <c r="F646" s="1" t="s">
        <v>1237</v>
      </c>
      <c r="G646" s="1" t="s">
        <v>48</v>
      </c>
      <c r="H646" s="1">
        <v>4</v>
      </c>
      <c r="I646" s="1">
        <f>Table1[[#This Row],[Units_Sold]]*Table1[[#This Row],[Unit_Price]]</f>
        <v>889.28</v>
      </c>
      <c r="J646" s="1">
        <v>222.32</v>
      </c>
      <c r="K646" s="1">
        <v>40</v>
      </c>
      <c r="L646" s="1">
        <v>533.57000000000005</v>
      </c>
      <c r="M646" s="1">
        <v>153.69999999999999</v>
      </c>
      <c r="N646" s="1">
        <v>41</v>
      </c>
      <c r="O646" s="1" t="s">
        <v>26</v>
      </c>
      <c r="P646" s="1" t="s">
        <v>32</v>
      </c>
    </row>
    <row r="647" spans="1:16" x14ac:dyDescent="0.3">
      <c r="A647" s="1">
        <v>100468</v>
      </c>
      <c r="B647" s="2">
        <v>45383</v>
      </c>
      <c r="C647" s="1" t="s">
        <v>691</v>
      </c>
      <c r="D647" s="1" t="s">
        <v>42</v>
      </c>
      <c r="E647" s="1" t="s">
        <v>25</v>
      </c>
      <c r="F647" s="1" t="s">
        <v>1240</v>
      </c>
      <c r="G647" s="1" t="s">
        <v>31</v>
      </c>
      <c r="H647" s="1">
        <v>2</v>
      </c>
      <c r="I647" s="1">
        <f>Table1[[#This Row],[Units_Sold]]*Table1[[#This Row],[Unit_Price]]</f>
        <v>287.83999999999997</v>
      </c>
      <c r="J647" s="1">
        <v>143.91999999999999</v>
      </c>
      <c r="K647" s="1">
        <v>20</v>
      </c>
      <c r="L647" s="1">
        <v>230.27</v>
      </c>
      <c r="M647" s="1">
        <v>78.44</v>
      </c>
      <c r="N647" s="1">
        <v>36</v>
      </c>
      <c r="O647" s="1" t="s">
        <v>19</v>
      </c>
      <c r="P647" s="1" t="s">
        <v>46</v>
      </c>
    </row>
    <row r="648" spans="1:16" x14ac:dyDescent="0.3">
      <c r="A648" s="1">
        <v>100024</v>
      </c>
      <c r="B648" s="2">
        <v>45919</v>
      </c>
      <c r="C648" s="1" t="s">
        <v>692</v>
      </c>
      <c r="D648" s="1" t="s">
        <v>24</v>
      </c>
      <c r="E648" s="1" t="s">
        <v>25</v>
      </c>
      <c r="F648" s="1" t="s">
        <v>1239</v>
      </c>
      <c r="G648" s="1" t="s">
        <v>18</v>
      </c>
      <c r="H648" s="1">
        <v>3</v>
      </c>
      <c r="I648" s="1">
        <f>Table1[[#This Row],[Units_Sold]]*Table1[[#This Row],[Unit_Price]]</f>
        <v>264.93</v>
      </c>
      <c r="J648" s="1">
        <v>88.31</v>
      </c>
      <c r="K648" s="1">
        <v>0</v>
      </c>
      <c r="L648" s="1">
        <v>264.93</v>
      </c>
      <c r="M648" s="1">
        <v>80.5</v>
      </c>
      <c r="N648" s="1">
        <v>30</v>
      </c>
      <c r="O648" s="1" t="s">
        <v>26</v>
      </c>
      <c r="P648" s="1" t="s">
        <v>51</v>
      </c>
    </row>
    <row r="649" spans="1:16" x14ac:dyDescent="0.3">
      <c r="A649" s="1">
        <v>100660</v>
      </c>
      <c r="B649" s="2">
        <v>44962</v>
      </c>
      <c r="C649" s="1" t="s">
        <v>693</v>
      </c>
      <c r="D649" s="1" t="s">
        <v>24</v>
      </c>
      <c r="E649" s="1" t="s">
        <v>25</v>
      </c>
      <c r="F649" s="1" t="s">
        <v>1237</v>
      </c>
      <c r="G649" s="1" t="s">
        <v>31</v>
      </c>
      <c r="H649" s="1">
        <v>3</v>
      </c>
      <c r="I649" s="1">
        <f>Table1[[#This Row],[Units_Sold]]*Table1[[#This Row],[Unit_Price]]</f>
        <v>282.63</v>
      </c>
      <c r="J649" s="1">
        <v>94.21</v>
      </c>
      <c r="K649" s="1">
        <v>10</v>
      </c>
      <c r="L649" s="1">
        <v>254.37</v>
      </c>
      <c r="M649" s="1">
        <v>60.55</v>
      </c>
      <c r="N649" s="1">
        <v>39</v>
      </c>
      <c r="O649" s="1" t="s">
        <v>26</v>
      </c>
      <c r="P649" s="1" t="s">
        <v>46</v>
      </c>
    </row>
    <row r="650" spans="1:16" x14ac:dyDescent="0.3">
      <c r="A650" s="1">
        <v>100679</v>
      </c>
      <c r="B650" s="2">
        <v>45210</v>
      </c>
      <c r="C650" s="1" t="s">
        <v>694</v>
      </c>
      <c r="D650" s="1" t="s">
        <v>70</v>
      </c>
      <c r="E650" s="1" t="s">
        <v>25</v>
      </c>
      <c r="F650" s="1" t="s">
        <v>1237</v>
      </c>
      <c r="G650" s="1" t="s">
        <v>31</v>
      </c>
      <c r="H650" s="1">
        <v>2</v>
      </c>
      <c r="I650" s="1">
        <f>Table1[[#This Row],[Units_Sold]]*Table1[[#This Row],[Unit_Price]]</f>
        <v>310.98</v>
      </c>
      <c r="J650" s="1">
        <v>155.49</v>
      </c>
      <c r="K650" s="1">
        <v>20</v>
      </c>
      <c r="L650" s="1">
        <v>248.78</v>
      </c>
      <c r="M650" s="1">
        <v>62.32</v>
      </c>
      <c r="N650" s="1">
        <v>29</v>
      </c>
      <c r="O650" s="1" t="s">
        <v>19</v>
      </c>
      <c r="P650" s="1" t="s">
        <v>46</v>
      </c>
    </row>
    <row r="651" spans="1:16" x14ac:dyDescent="0.3">
      <c r="A651" s="1">
        <v>100752</v>
      </c>
      <c r="B651" s="2">
        <v>45533</v>
      </c>
      <c r="C651" s="1" t="s">
        <v>695</v>
      </c>
      <c r="D651" s="1" t="s">
        <v>24</v>
      </c>
      <c r="E651" s="1" t="s">
        <v>25</v>
      </c>
      <c r="F651" s="1" t="s">
        <v>1241</v>
      </c>
      <c r="G651" s="1" t="s">
        <v>18</v>
      </c>
      <c r="H651" s="1">
        <v>1</v>
      </c>
      <c r="I651" s="1">
        <f>Table1[[#This Row],[Units_Sold]]*Table1[[#This Row],[Unit_Price]]</f>
        <v>91.04</v>
      </c>
      <c r="J651" s="1">
        <v>91.04</v>
      </c>
      <c r="K651" s="1">
        <v>0</v>
      </c>
      <c r="L651" s="1">
        <v>91.04</v>
      </c>
      <c r="M651" s="1">
        <v>20.12</v>
      </c>
      <c r="N651" s="1">
        <v>47</v>
      </c>
      <c r="O651" s="1" t="s">
        <v>26</v>
      </c>
      <c r="P651" s="1" t="s">
        <v>81</v>
      </c>
    </row>
    <row r="652" spans="1:16" x14ac:dyDescent="0.3">
      <c r="A652" s="1">
        <v>100993</v>
      </c>
      <c r="B652" s="2">
        <v>45622</v>
      </c>
      <c r="C652" s="1" t="s">
        <v>696</v>
      </c>
      <c r="D652" s="1" t="s">
        <v>42</v>
      </c>
      <c r="E652" s="1" t="s">
        <v>25</v>
      </c>
      <c r="F652" s="1" t="s">
        <v>1241</v>
      </c>
      <c r="G652" s="1" t="s">
        <v>64</v>
      </c>
      <c r="H652" s="1">
        <v>3</v>
      </c>
      <c r="I652" s="1">
        <f>Table1[[#This Row],[Units_Sold]]*Table1[[#This Row],[Unit_Price]]</f>
        <v>466.68</v>
      </c>
      <c r="J652" s="1">
        <v>155.56</v>
      </c>
      <c r="K652" s="1">
        <v>0</v>
      </c>
      <c r="L652" s="1">
        <v>466.68</v>
      </c>
      <c r="M652" s="1">
        <v>133.65</v>
      </c>
      <c r="N652" s="1">
        <v>39</v>
      </c>
      <c r="O652" s="1" t="s">
        <v>26</v>
      </c>
      <c r="P652" s="1" t="s">
        <v>81</v>
      </c>
    </row>
    <row r="653" spans="1:16" x14ac:dyDescent="0.3">
      <c r="A653" s="1">
        <v>100366</v>
      </c>
      <c r="B653" s="2">
        <v>45170</v>
      </c>
      <c r="C653" s="1" t="s">
        <v>697</v>
      </c>
      <c r="D653" s="1" t="s">
        <v>87</v>
      </c>
      <c r="E653" s="1" t="s">
        <v>25</v>
      </c>
      <c r="F653" s="1" t="s">
        <v>1237</v>
      </c>
      <c r="G653" s="1" t="s">
        <v>48</v>
      </c>
      <c r="H653" s="1">
        <v>3</v>
      </c>
      <c r="I653" s="1">
        <f>Table1[[#This Row],[Units_Sold]]*Table1[[#This Row],[Unit_Price]]</f>
        <v>241.41</v>
      </c>
      <c r="J653" s="1">
        <v>80.47</v>
      </c>
      <c r="K653" s="1">
        <v>10</v>
      </c>
      <c r="L653" s="1">
        <v>217.27</v>
      </c>
      <c r="M653" s="1">
        <v>74.67</v>
      </c>
      <c r="N653" s="1">
        <v>33</v>
      </c>
      <c r="O653" s="1" t="s">
        <v>26</v>
      </c>
      <c r="P653" s="1" t="s">
        <v>43</v>
      </c>
    </row>
    <row r="654" spans="1:16" x14ac:dyDescent="0.3">
      <c r="A654" s="1">
        <v>100839</v>
      </c>
      <c r="B654" s="2">
        <v>45670</v>
      </c>
      <c r="C654" s="1" t="s">
        <v>698</v>
      </c>
      <c r="D654" s="1" t="s">
        <v>34</v>
      </c>
      <c r="E654" s="1" t="s">
        <v>30</v>
      </c>
      <c r="F654" s="1" t="s">
        <v>1241</v>
      </c>
      <c r="G654" s="1" t="s">
        <v>18</v>
      </c>
      <c r="H654" s="1">
        <v>3</v>
      </c>
      <c r="I654" s="1">
        <f>Table1[[#This Row],[Units_Sold]]*Table1[[#This Row],[Unit_Price]]</f>
        <v>186.48</v>
      </c>
      <c r="J654" s="1">
        <v>62.16</v>
      </c>
      <c r="K654" s="1">
        <v>0</v>
      </c>
      <c r="L654" s="1">
        <v>186.48</v>
      </c>
      <c r="M654" s="1">
        <v>45.95</v>
      </c>
      <c r="N654" s="1">
        <v>32</v>
      </c>
      <c r="O654" s="1" t="s">
        <v>26</v>
      </c>
      <c r="P654" s="1" t="s">
        <v>43</v>
      </c>
    </row>
    <row r="655" spans="1:16" x14ac:dyDescent="0.3">
      <c r="A655" s="1">
        <v>101052</v>
      </c>
      <c r="B655" s="2">
        <v>45817</v>
      </c>
      <c r="C655" s="1" t="s">
        <v>699</v>
      </c>
      <c r="D655" s="1" t="s">
        <v>100</v>
      </c>
      <c r="E655" s="1" t="s">
        <v>25</v>
      </c>
      <c r="F655" s="1" t="s">
        <v>1237</v>
      </c>
      <c r="G655" s="1" t="s">
        <v>18</v>
      </c>
      <c r="H655" s="1">
        <v>3</v>
      </c>
      <c r="I655" s="1">
        <f>Table1[[#This Row],[Units_Sold]]*Table1[[#This Row],[Unit_Price]]</f>
        <v>387.36</v>
      </c>
      <c r="J655" s="1">
        <v>129.12</v>
      </c>
      <c r="K655" s="1">
        <v>0</v>
      </c>
      <c r="L655" s="1">
        <v>387.36</v>
      </c>
      <c r="M655" s="1">
        <v>119.57</v>
      </c>
      <c r="N655" s="1">
        <v>43</v>
      </c>
      <c r="O655" s="1" t="s">
        <v>26</v>
      </c>
      <c r="P655" s="1" t="s">
        <v>32</v>
      </c>
    </row>
    <row r="656" spans="1:16" x14ac:dyDescent="0.3">
      <c r="A656" s="1">
        <v>100383</v>
      </c>
      <c r="B656" s="2">
        <v>45104</v>
      </c>
      <c r="C656" s="1" t="s">
        <v>700</v>
      </c>
      <c r="D656" s="1" t="s">
        <v>73</v>
      </c>
      <c r="E656" s="1" t="s">
        <v>25</v>
      </c>
      <c r="F656" s="1" t="s">
        <v>1241</v>
      </c>
      <c r="G656" s="1" t="s">
        <v>18</v>
      </c>
      <c r="H656" s="1">
        <v>3</v>
      </c>
      <c r="I656" s="1">
        <f>Table1[[#This Row],[Units_Sold]]*Table1[[#This Row],[Unit_Price]]</f>
        <v>112.47</v>
      </c>
      <c r="J656" s="1">
        <v>37.49</v>
      </c>
      <c r="K656" s="1">
        <v>0</v>
      </c>
      <c r="L656" s="1">
        <v>112.47</v>
      </c>
      <c r="M656" s="1">
        <v>30.79</v>
      </c>
      <c r="N656" s="1">
        <v>31</v>
      </c>
      <c r="O656" s="1" t="s">
        <v>26</v>
      </c>
      <c r="P656" s="1" t="s">
        <v>81</v>
      </c>
    </row>
    <row r="657" spans="1:16" x14ac:dyDescent="0.3">
      <c r="A657" s="1">
        <v>100454</v>
      </c>
      <c r="B657" s="2">
        <v>45293</v>
      </c>
      <c r="C657" s="1" t="s">
        <v>701</v>
      </c>
      <c r="D657" s="1" t="s">
        <v>56</v>
      </c>
      <c r="E657" s="1" t="s">
        <v>30</v>
      </c>
      <c r="F657" s="1" t="s">
        <v>1237</v>
      </c>
      <c r="G657" s="1" t="s">
        <v>18</v>
      </c>
      <c r="H657" s="1">
        <v>2</v>
      </c>
      <c r="I657" s="1">
        <f>Table1[[#This Row],[Units_Sold]]*Table1[[#This Row],[Unit_Price]]</f>
        <v>93.98</v>
      </c>
      <c r="J657" s="1">
        <v>46.99</v>
      </c>
      <c r="K657" s="1">
        <v>10</v>
      </c>
      <c r="L657" s="1">
        <v>84.58</v>
      </c>
      <c r="M657" s="1">
        <v>29.93</v>
      </c>
      <c r="N657" s="1">
        <v>38</v>
      </c>
      <c r="O657" s="1" t="s">
        <v>26</v>
      </c>
      <c r="P657" s="1" t="s">
        <v>46</v>
      </c>
    </row>
    <row r="658" spans="1:16" x14ac:dyDescent="0.3">
      <c r="A658" s="1">
        <v>100264</v>
      </c>
      <c r="B658" s="2">
        <v>45439</v>
      </c>
      <c r="C658" s="1" t="s">
        <v>702</v>
      </c>
      <c r="D658" s="1" t="s">
        <v>59</v>
      </c>
      <c r="E658" s="1" t="s">
        <v>17</v>
      </c>
      <c r="F658" s="1" t="s">
        <v>1238</v>
      </c>
      <c r="G658" s="1" t="s">
        <v>48</v>
      </c>
      <c r="H658" s="1">
        <v>2</v>
      </c>
      <c r="I658" s="1">
        <f>Table1[[#This Row],[Units_Sold]]*Table1[[#This Row],[Unit_Price]]</f>
        <v>56.14</v>
      </c>
      <c r="J658" s="1">
        <v>28.07</v>
      </c>
      <c r="K658" s="1">
        <v>10</v>
      </c>
      <c r="L658" s="1">
        <v>50.53</v>
      </c>
      <c r="M658" s="1">
        <v>18.09</v>
      </c>
      <c r="N658" s="1">
        <v>35</v>
      </c>
      <c r="O658" s="1" t="s">
        <v>26</v>
      </c>
      <c r="P658" s="1" t="s">
        <v>32</v>
      </c>
    </row>
    <row r="659" spans="1:16" x14ac:dyDescent="0.3">
      <c r="A659" s="1">
        <v>100760</v>
      </c>
      <c r="B659" s="2">
        <v>45300</v>
      </c>
      <c r="C659" s="1" t="s">
        <v>703</v>
      </c>
      <c r="D659" s="1" t="s">
        <v>29</v>
      </c>
      <c r="E659" s="1" t="s">
        <v>30</v>
      </c>
      <c r="F659" s="1" t="s">
        <v>1241</v>
      </c>
      <c r="G659" s="1" t="s">
        <v>31</v>
      </c>
      <c r="H659" s="1">
        <v>2</v>
      </c>
      <c r="I659" s="1">
        <f>Table1[[#This Row],[Units_Sold]]*Table1[[#This Row],[Unit_Price]]</f>
        <v>38.200000000000003</v>
      </c>
      <c r="J659" s="1">
        <v>19.100000000000001</v>
      </c>
      <c r="K659" s="1">
        <v>10</v>
      </c>
      <c r="L659" s="1">
        <v>34.380000000000003</v>
      </c>
      <c r="M659" s="1">
        <v>14.06</v>
      </c>
      <c r="N659" s="1">
        <v>28</v>
      </c>
      <c r="O659" s="1" t="s">
        <v>26</v>
      </c>
      <c r="P659" s="1" t="s">
        <v>32</v>
      </c>
    </row>
    <row r="660" spans="1:16" x14ac:dyDescent="0.3">
      <c r="A660" s="1">
        <v>100979</v>
      </c>
      <c r="B660" s="2">
        <v>45901</v>
      </c>
      <c r="C660" s="1" t="s">
        <v>704</v>
      </c>
      <c r="D660" s="1" t="s">
        <v>87</v>
      </c>
      <c r="E660" s="1" t="s">
        <v>25</v>
      </c>
      <c r="F660" s="1" t="s">
        <v>1239</v>
      </c>
      <c r="G660" s="1" t="s">
        <v>31</v>
      </c>
      <c r="H660" s="1">
        <v>4</v>
      </c>
      <c r="I660" s="1">
        <f>Table1[[#This Row],[Units_Sold]]*Table1[[#This Row],[Unit_Price]]</f>
        <v>366.04</v>
      </c>
      <c r="J660" s="1">
        <v>91.51</v>
      </c>
      <c r="K660" s="1">
        <v>0</v>
      </c>
      <c r="L660" s="1">
        <v>366.04</v>
      </c>
      <c r="M660" s="1">
        <v>115.45</v>
      </c>
      <c r="N660" s="1">
        <v>46</v>
      </c>
      <c r="O660" s="1" t="s">
        <v>26</v>
      </c>
      <c r="P660" s="1" t="s">
        <v>43</v>
      </c>
    </row>
    <row r="661" spans="1:16" x14ac:dyDescent="0.3">
      <c r="A661" s="1">
        <v>100444</v>
      </c>
      <c r="B661" s="2">
        <v>45404</v>
      </c>
      <c r="C661" s="1" t="s">
        <v>705</v>
      </c>
      <c r="D661" s="1" t="s">
        <v>68</v>
      </c>
      <c r="E661" s="1" t="s">
        <v>25</v>
      </c>
      <c r="F661" s="1" t="s">
        <v>1239</v>
      </c>
      <c r="G661" s="1" t="s">
        <v>31</v>
      </c>
      <c r="H661" s="1">
        <v>1</v>
      </c>
      <c r="I661" s="1">
        <f>Table1[[#This Row],[Units_Sold]]*Table1[[#This Row],[Unit_Price]]</f>
        <v>200.35</v>
      </c>
      <c r="J661" s="1">
        <v>200.35</v>
      </c>
      <c r="K661" s="1">
        <v>10</v>
      </c>
      <c r="L661" s="1">
        <v>180.31</v>
      </c>
      <c r="M661" s="1">
        <v>65.23</v>
      </c>
      <c r="N661" s="1">
        <v>34</v>
      </c>
      <c r="O661" s="1" t="s">
        <v>19</v>
      </c>
      <c r="P661" s="1" t="s">
        <v>20</v>
      </c>
    </row>
    <row r="662" spans="1:16" x14ac:dyDescent="0.3">
      <c r="A662" s="1">
        <v>100395</v>
      </c>
      <c r="B662" s="2">
        <v>45792</v>
      </c>
      <c r="C662" s="1" t="s">
        <v>706</v>
      </c>
      <c r="D662" s="1" t="s">
        <v>42</v>
      </c>
      <c r="E662" s="1" t="s">
        <v>25</v>
      </c>
      <c r="F662" s="1" t="s">
        <v>1239</v>
      </c>
      <c r="G662" s="1" t="s">
        <v>18</v>
      </c>
      <c r="H662" s="1">
        <v>2</v>
      </c>
      <c r="I662" s="1">
        <f>Table1[[#This Row],[Units_Sold]]*Table1[[#This Row],[Unit_Price]]</f>
        <v>335.44</v>
      </c>
      <c r="J662" s="1">
        <v>167.72</v>
      </c>
      <c r="K662" s="1">
        <v>0</v>
      </c>
      <c r="L662" s="1">
        <v>335.44</v>
      </c>
      <c r="M662" s="1">
        <v>101.32</v>
      </c>
      <c r="N662" s="1">
        <v>21</v>
      </c>
      <c r="O662" s="1" t="s">
        <v>26</v>
      </c>
      <c r="P662" s="1" t="s">
        <v>35</v>
      </c>
    </row>
    <row r="663" spans="1:16" x14ac:dyDescent="0.3">
      <c r="A663" s="1">
        <v>100741</v>
      </c>
      <c r="B663" s="2">
        <v>45925</v>
      </c>
      <c r="C663" s="1" t="s">
        <v>707</v>
      </c>
      <c r="D663" s="1" t="s">
        <v>73</v>
      </c>
      <c r="E663" s="1" t="s">
        <v>25</v>
      </c>
      <c r="F663" s="1" t="s">
        <v>1237</v>
      </c>
      <c r="G663" s="1" t="s">
        <v>64</v>
      </c>
      <c r="H663" s="1">
        <v>3</v>
      </c>
      <c r="I663" s="1">
        <f>Table1[[#This Row],[Units_Sold]]*Table1[[#This Row],[Unit_Price]]</f>
        <v>108.06</v>
      </c>
      <c r="J663" s="1">
        <v>36.020000000000003</v>
      </c>
      <c r="K663" s="1">
        <v>5</v>
      </c>
      <c r="L663" s="1">
        <v>102.66</v>
      </c>
      <c r="M663" s="1">
        <v>24.89</v>
      </c>
      <c r="N663" s="1">
        <v>32</v>
      </c>
      <c r="O663" s="1" t="s">
        <v>26</v>
      </c>
      <c r="P663" s="1" t="s">
        <v>32</v>
      </c>
    </row>
    <row r="664" spans="1:16" x14ac:dyDescent="0.3">
      <c r="A664" s="1">
        <v>100176</v>
      </c>
      <c r="B664" s="2">
        <v>45698</v>
      </c>
      <c r="C664" s="1" t="s">
        <v>708</v>
      </c>
      <c r="D664" s="1" t="s">
        <v>73</v>
      </c>
      <c r="E664" s="1" t="s">
        <v>25</v>
      </c>
      <c r="F664" s="1" t="s">
        <v>1239</v>
      </c>
      <c r="G664" s="1" t="s">
        <v>18</v>
      </c>
      <c r="H664" s="1">
        <v>3</v>
      </c>
      <c r="I664" s="1">
        <f>Table1[[#This Row],[Units_Sold]]*Table1[[#This Row],[Unit_Price]]</f>
        <v>100.35000000000001</v>
      </c>
      <c r="J664" s="1">
        <v>33.450000000000003</v>
      </c>
      <c r="K664" s="1">
        <v>5</v>
      </c>
      <c r="L664" s="1">
        <v>95.33</v>
      </c>
      <c r="M664" s="1">
        <v>37.57</v>
      </c>
      <c r="N664" s="1">
        <v>20</v>
      </c>
      <c r="O664" s="1" t="s">
        <v>19</v>
      </c>
      <c r="P664" s="1" t="s">
        <v>20</v>
      </c>
    </row>
    <row r="665" spans="1:16" x14ac:dyDescent="0.3">
      <c r="A665" s="1">
        <v>100018</v>
      </c>
      <c r="B665" s="2">
        <v>45157</v>
      </c>
      <c r="C665" s="1" t="s">
        <v>709</v>
      </c>
      <c r="D665" s="1" t="s">
        <v>24</v>
      </c>
      <c r="E665" s="1" t="s">
        <v>25</v>
      </c>
      <c r="F665" s="1" t="s">
        <v>1237</v>
      </c>
      <c r="G665" s="1" t="s">
        <v>18</v>
      </c>
      <c r="H665" s="1">
        <v>1</v>
      </c>
      <c r="I665" s="1">
        <f>Table1[[#This Row],[Units_Sold]]*Table1[[#This Row],[Unit_Price]]</f>
        <v>97.25</v>
      </c>
      <c r="J665" s="1">
        <v>97.25</v>
      </c>
      <c r="K665" s="1">
        <v>5</v>
      </c>
      <c r="L665" s="1">
        <v>92.39</v>
      </c>
      <c r="M665" s="1">
        <v>28.92</v>
      </c>
      <c r="N665" s="1">
        <v>16</v>
      </c>
      <c r="O665" s="1" t="s">
        <v>26</v>
      </c>
      <c r="P665" s="1" t="s">
        <v>27</v>
      </c>
    </row>
    <row r="666" spans="1:16" x14ac:dyDescent="0.3">
      <c r="A666" s="1">
        <v>100948</v>
      </c>
      <c r="B666" s="2">
        <v>45887</v>
      </c>
      <c r="C666" s="1" t="s">
        <v>710</v>
      </c>
      <c r="D666" s="1" t="s">
        <v>73</v>
      </c>
      <c r="E666" s="1" t="s">
        <v>25</v>
      </c>
      <c r="F666" s="1" t="s">
        <v>1241</v>
      </c>
      <c r="G666" s="1" t="s">
        <v>31</v>
      </c>
      <c r="H666" s="1">
        <v>4</v>
      </c>
      <c r="I666" s="1">
        <f>Table1[[#This Row],[Units_Sold]]*Table1[[#This Row],[Unit_Price]]</f>
        <v>125.76</v>
      </c>
      <c r="J666" s="1">
        <v>31.44</v>
      </c>
      <c r="K666" s="1">
        <v>10</v>
      </c>
      <c r="L666" s="1">
        <v>113.18</v>
      </c>
      <c r="M666" s="1">
        <v>31.47</v>
      </c>
      <c r="N666" s="1">
        <v>32</v>
      </c>
      <c r="O666" s="1" t="s">
        <v>19</v>
      </c>
      <c r="P666" s="1" t="s">
        <v>51</v>
      </c>
    </row>
    <row r="667" spans="1:16" x14ac:dyDescent="0.3">
      <c r="A667" s="1">
        <v>100814</v>
      </c>
      <c r="B667" s="2">
        <v>45715</v>
      </c>
      <c r="C667" s="1" t="s">
        <v>711</v>
      </c>
      <c r="D667" s="1" t="s">
        <v>29</v>
      </c>
      <c r="E667" s="1" t="s">
        <v>30</v>
      </c>
      <c r="F667" s="1" t="s">
        <v>1238</v>
      </c>
      <c r="G667" s="1" t="s">
        <v>18</v>
      </c>
      <c r="H667" s="1">
        <v>3</v>
      </c>
      <c r="I667" s="1">
        <f>Table1[[#This Row],[Units_Sold]]*Table1[[#This Row],[Unit_Price]]</f>
        <v>49.949999999999996</v>
      </c>
      <c r="J667" s="1">
        <v>16.649999999999999</v>
      </c>
      <c r="K667" s="1">
        <v>10</v>
      </c>
      <c r="L667" s="1">
        <v>44.95</v>
      </c>
      <c r="M667" s="1">
        <v>13.07</v>
      </c>
      <c r="N667" s="1">
        <v>21</v>
      </c>
      <c r="O667" s="1" t="s">
        <v>19</v>
      </c>
      <c r="P667" s="1" t="s">
        <v>46</v>
      </c>
    </row>
    <row r="668" spans="1:16" x14ac:dyDescent="0.3">
      <c r="A668" s="1">
        <v>100595</v>
      </c>
      <c r="B668" s="2">
        <v>45149</v>
      </c>
      <c r="C668" s="1" t="s">
        <v>712</v>
      </c>
      <c r="D668" s="1" t="s">
        <v>77</v>
      </c>
      <c r="E668" s="1" t="s">
        <v>30</v>
      </c>
      <c r="F668" s="1" t="s">
        <v>1238</v>
      </c>
      <c r="G668" s="1" t="s">
        <v>18</v>
      </c>
      <c r="H668" s="1">
        <v>4</v>
      </c>
      <c r="I668" s="1">
        <f>Table1[[#This Row],[Units_Sold]]*Table1[[#This Row],[Unit_Price]]</f>
        <v>166.6</v>
      </c>
      <c r="J668" s="1">
        <v>41.65</v>
      </c>
      <c r="K668" s="1">
        <v>0</v>
      </c>
      <c r="L668" s="1">
        <v>166.6</v>
      </c>
      <c r="M668" s="1">
        <v>45.88</v>
      </c>
      <c r="N668" s="1">
        <v>40</v>
      </c>
      <c r="O668" s="1" t="s">
        <v>19</v>
      </c>
      <c r="P668" s="1" t="s">
        <v>81</v>
      </c>
    </row>
    <row r="669" spans="1:16" x14ac:dyDescent="0.3">
      <c r="A669" s="1">
        <v>100061</v>
      </c>
      <c r="B669" s="2">
        <v>45185</v>
      </c>
      <c r="C669" s="1" t="s">
        <v>713</v>
      </c>
      <c r="D669" s="1" t="s">
        <v>24</v>
      </c>
      <c r="E669" s="1" t="s">
        <v>25</v>
      </c>
      <c r="F669" s="1" t="s">
        <v>1237</v>
      </c>
      <c r="G669" s="1" t="s">
        <v>18</v>
      </c>
      <c r="H669" s="1">
        <v>4</v>
      </c>
      <c r="I669" s="1">
        <f>Table1[[#This Row],[Units_Sold]]*Table1[[#This Row],[Unit_Price]]</f>
        <v>343.64</v>
      </c>
      <c r="J669" s="1">
        <v>85.91</v>
      </c>
      <c r="K669" s="1">
        <v>5</v>
      </c>
      <c r="L669" s="1">
        <v>326.45999999999998</v>
      </c>
      <c r="M669" s="1">
        <v>86.53</v>
      </c>
      <c r="N669" s="1">
        <v>29</v>
      </c>
      <c r="O669" s="1" t="s">
        <v>19</v>
      </c>
      <c r="P669" s="1" t="s">
        <v>51</v>
      </c>
    </row>
    <row r="670" spans="1:16" x14ac:dyDescent="0.3">
      <c r="A670" s="1">
        <v>100272</v>
      </c>
      <c r="B670" s="2">
        <v>45358</v>
      </c>
      <c r="C670" s="1" t="s">
        <v>714</v>
      </c>
      <c r="D670" s="1" t="s">
        <v>16</v>
      </c>
      <c r="E670" s="1" t="s">
        <v>17</v>
      </c>
      <c r="F670" s="1" t="s">
        <v>1241</v>
      </c>
      <c r="G670" s="1" t="s">
        <v>18</v>
      </c>
      <c r="H670" s="1">
        <v>5</v>
      </c>
      <c r="I670" s="1">
        <f>Table1[[#This Row],[Units_Sold]]*Table1[[#This Row],[Unit_Price]]</f>
        <v>269.54999999999995</v>
      </c>
      <c r="J670" s="1">
        <v>53.91</v>
      </c>
      <c r="K670" s="1">
        <v>5</v>
      </c>
      <c r="L670" s="1">
        <v>256.07</v>
      </c>
      <c r="M670" s="1">
        <v>96.4</v>
      </c>
      <c r="N670" s="1">
        <v>32</v>
      </c>
      <c r="O670" s="1" t="s">
        <v>26</v>
      </c>
      <c r="P670" s="1" t="s">
        <v>46</v>
      </c>
    </row>
    <row r="671" spans="1:16" x14ac:dyDescent="0.3">
      <c r="A671" s="1">
        <v>101125</v>
      </c>
      <c r="B671" s="2">
        <v>45926</v>
      </c>
      <c r="C671" s="1" t="s">
        <v>715</v>
      </c>
      <c r="D671" s="1" t="s">
        <v>66</v>
      </c>
      <c r="E671" s="1" t="s">
        <v>17</v>
      </c>
      <c r="F671" s="1" t="s">
        <v>1238</v>
      </c>
      <c r="G671" s="1" t="s">
        <v>31</v>
      </c>
      <c r="H671" s="1">
        <v>2</v>
      </c>
      <c r="I671" s="1">
        <f>Table1[[#This Row],[Units_Sold]]*Table1[[#This Row],[Unit_Price]]</f>
        <v>261.95999999999998</v>
      </c>
      <c r="J671" s="1">
        <v>130.97999999999999</v>
      </c>
      <c r="K671" s="1">
        <v>0</v>
      </c>
      <c r="L671" s="1">
        <v>261.95999999999998</v>
      </c>
      <c r="M671" s="1">
        <v>50.79</v>
      </c>
      <c r="N671" s="1">
        <v>25</v>
      </c>
      <c r="O671" s="1" t="s">
        <v>26</v>
      </c>
      <c r="P671" s="1" t="s">
        <v>35</v>
      </c>
    </row>
    <row r="672" spans="1:16" x14ac:dyDescent="0.3">
      <c r="A672" s="1">
        <v>100278</v>
      </c>
      <c r="B672" s="2">
        <v>45575</v>
      </c>
      <c r="C672" s="1" t="s">
        <v>716</v>
      </c>
      <c r="D672" s="1" t="s">
        <v>16</v>
      </c>
      <c r="E672" s="1" t="s">
        <v>17</v>
      </c>
      <c r="F672" s="1" t="s">
        <v>1237</v>
      </c>
      <c r="G672" s="1" t="s">
        <v>31</v>
      </c>
      <c r="H672" s="1">
        <v>3</v>
      </c>
      <c r="I672" s="1">
        <f>Table1[[#This Row],[Units_Sold]]*Table1[[#This Row],[Unit_Price]]</f>
        <v>168.45</v>
      </c>
      <c r="J672" s="1">
        <v>56.15</v>
      </c>
      <c r="K672" s="1">
        <v>20</v>
      </c>
      <c r="L672" s="1">
        <v>134.76</v>
      </c>
      <c r="M672" s="1">
        <v>26.41</v>
      </c>
      <c r="N672" s="1">
        <v>39</v>
      </c>
      <c r="O672" s="1" t="s">
        <v>19</v>
      </c>
      <c r="P672" s="1" t="s">
        <v>27</v>
      </c>
    </row>
    <row r="673" spans="1:16" x14ac:dyDescent="0.3">
      <c r="A673" s="1">
        <v>100841</v>
      </c>
      <c r="B673" s="2">
        <v>45285</v>
      </c>
      <c r="C673" s="1" t="s">
        <v>717</v>
      </c>
      <c r="D673" s="1" t="s">
        <v>16</v>
      </c>
      <c r="E673" s="1" t="s">
        <v>17</v>
      </c>
      <c r="F673" s="1" t="s">
        <v>1237</v>
      </c>
      <c r="G673" s="1" t="s">
        <v>31</v>
      </c>
      <c r="H673" s="1">
        <v>3</v>
      </c>
      <c r="I673" s="1">
        <f>Table1[[#This Row],[Units_Sold]]*Table1[[#This Row],[Unit_Price]]</f>
        <v>157.38</v>
      </c>
      <c r="J673" s="1">
        <v>52.46</v>
      </c>
      <c r="K673" s="1">
        <v>5</v>
      </c>
      <c r="L673" s="1">
        <v>149.51</v>
      </c>
      <c r="M673" s="1">
        <v>30.77</v>
      </c>
      <c r="N673" s="1">
        <v>35</v>
      </c>
      <c r="O673" s="1" t="s">
        <v>19</v>
      </c>
      <c r="P673" s="1" t="s">
        <v>32</v>
      </c>
    </row>
    <row r="674" spans="1:16" x14ac:dyDescent="0.3">
      <c r="A674" s="1">
        <v>100368</v>
      </c>
      <c r="B674" s="2">
        <v>45927</v>
      </c>
      <c r="C674" s="1" t="s">
        <v>718</v>
      </c>
      <c r="D674" s="1" t="s">
        <v>24</v>
      </c>
      <c r="E674" s="1" t="s">
        <v>25</v>
      </c>
      <c r="F674" s="1" t="s">
        <v>1241</v>
      </c>
      <c r="G674" s="1" t="s">
        <v>31</v>
      </c>
      <c r="H674" s="1">
        <v>4</v>
      </c>
      <c r="I674" s="1">
        <f>Table1[[#This Row],[Units_Sold]]*Table1[[#This Row],[Unit_Price]]</f>
        <v>361.88</v>
      </c>
      <c r="J674" s="1">
        <v>90.47</v>
      </c>
      <c r="K674" s="1">
        <v>5</v>
      </c>
      <c r="L674" s="1">
        <v>343.79</v>
      </c>
      <c r="M674" s="1">
        <v>126.76</v>
      </c>
      <c r="N674" s="1">
        <v>29</v>
      </c>
      <c r="O674" s="1" t="s">
        <v>26</v>
      </c>
      <c r="P674" s="1" t="s">
        <v>20</v>
      </c>
    </row>
    <row r="675" spans="1:16" x14ac:dyDescent="0.3">
      <c r="A675" s="1">
        <v>100886</v>
      </c>
      <c r="B675" s="2">
        <v>45402</v>
      </c>
      <c r="C675" s="1" t="s">
        <v>719</v>
      </c>
      <c r="D675" s="1" t="s">
        <v>34</v>
      </c>
      <c r="E675" s="1" t="s">
        <v>30</v>
      </c>
      <c r="F675" s="1" t="s">
        <v>1237</v>
      </c>
      <c r="G675" s="1" t="s">
        <v>18</v>
      </c>
      <c r="H675" s="1">
        <v>6</v>
      </c>
      <c r="I675" s="1">
        <f>Table1[[#This Row],[Units_Sold]]*Table1[[#This Row],[Unit_Price]]</f>
        <v>320.70000000000005</v>
      </c>
      <c r="J675" s="1">
        <v>53.45</v>
      </c>
      <c r="K675" s="1">
        <v>0</v>
      </c>
      <c r="L675" s="1">
        <v>320.7</v>
      </c>
      <c r="M675" s="1">
        <v>121.58</v>
      </c>
      <c r="N675" s="1">
        <v>31</v>
      </c>
      <c r="O675" s="1" t="s">
        <v>19</v>
      </c>
      <c r="P675" s="1" t="s">
        <v>81</v>
      </c>
    </row>
    <row r="676" spans="1:16" x14ac:dyDescent="0.3">
      <c r="A676" s="1">
        <v>101014</v>
      </c>
      <c r="B676" s="2">
        <v>45651</v>
      </c>
      <c r="C676" s="1" t="s">
        <v>720</v>
      </c>
      <c r="D676" s="1" t="s">
        <v>37</v>
      </c>
      <c r="E676" s="1" t="s">
        <v>17</v>
      </c>
      <c r="F676" s="1" t="s">
        <v>1238</v>
      </c>
      <c r="G676" s="1" t="s">
        <v>31</v>
      </c>
      <c r="H676" s="1">
        <v>2</v>
      </c>
      <c r="I676" s="1">
        <f>Table1[[#This Row],[Units_Sold]]*Table1[[#This Row],[Unit_Price]]</f>
        <v>149.84</v>
      </c>
      <c r="J676" s="1">
        <v>74.92</v>
      </c>
      <c r="K676" s="1">
        <v>0</v>
      </c>
      <c r="L676" s="1">
        <v>149.84</v>
      </c>
      <c r="M676" s="1">
        <v>35.03</v>
      </c>
      <c r="N676" s="1">
        <v>35</v>
      </c>
      <c r="O676" s="1" t="s">
        <v>26</v>
      </c>
      <c r="P676" s="1" t="s">
        <v>43</v>
      </c>
    </row>
    <row r="677" spans="1:16" x14ac:dyDescent="0.3">
      <c r="A677" s="1">
        <v>100859</v>
      </c>
      <c r="B677" s="2">
        <v>45232</v>
      </c>
      <c r="C677" s="1" t="s">
        <v>721</v>
      </c>
      <c r="D677" s="1" t="s">
        <v>62</v>
      </c>
      <c r="E677" s="1" t="s">
        <v>17</v>
      </c>
      <c r="F677" s="1" t="s">
        <v>1241</v>
      </c>
      <c r="G677" s="1" t="s">
        <v>48</v>
      </c>
      <c r="H677" s="1">
        <v>1</v>
      </c>
      <c r="I677" s="1">
        <f>Table1[[#This Row],[Units_Sold]]*Table1[[#This Row],[Unit_Price]]</f>
        <v>149.31</v>
      </c>
      <c r="J677" s="1">
        <v>149.31</v>
      </c>
      <c r="K677" s="1">
        <v>10</v>
      </c>
      <c r="L677" s="1">
        <v>134.38</v>
      </c>
      <c r="M677" s="1">
        <v>43.48</v>
      </c>
      <c r="N677" s="1">
        <v>31</v>
      </c>
      <c r="O677" s="1" t="s">
        <v>26</v>
      </c>
      <c r="P677" s="1" t="s">
        <v>27</v>
      </c>
    </row>
    <row r="678" spans="1:16" x14ac:dyDescent="0.3">
      <c r="A678" s="1">
        <v>100720</v>
      </c>
      <c r="B678" s="2">
        <v>45354</v>
      </c>
      <c r="C678" s="1" t="s">
        <v>722</v>
      </c>
      <c r="D678" s="1" t="s">
        <v>42</v>
      </c>
      <c r="E678" s="1" t="s">
        <v>25</v>
      </c>
      <c r="F678" s="1" t="s">
        <v>1237</v>
      </c>
      <c r="G678" s="1" t="s">
        <v>18</v>
      </c>
      <c r="H678" s="1">
        <v>1</v>
      </c>
      <c r="I678" s="1">
        <f>Table1[[#This Row],[Units_Sold]]*Table1[[#This Row],[Unit_Price]]</f>
        <v>145.79</v>
      </c>
      <c r="J678" s="1">
        <v>145.79</v>
      </c>
      <c r="K678" s="1">
        <v>5</v>
      </c>
      <c r="L678" s="1">
        <v>138.5</v>
      </c>
      <c r="M678" s="1">
        <v>49.49</v>
      </c>
      <c r="N678" s="1">
        <v>18</v>
      </c>
      <c r="O678" s="1" t="s">
        <v>26</v>
      </c>
      <c r="P678" s="1" t="s">
        <v>20</v>
      </c>
    </row>
    <row r="679" spans="1:16" x14ac:dyDescent="0.3">
      <c r="A679" s="1">
        <v>100825</v>
      </c>
      <c r="B679" s="2">
        <v>45191</v>
      </c>
      <c r="C679" s="1" t="s">
        <v>723</v>
      </c>
      <c r="D679" s="1" t="s">
        <v>66</v>
      </c>
      <c r="E679" s="1" t="s">
        <v>17</v>
      </c>
      <c r="F679" s="1" t="s">
        <v>1237</v>
      </c>
      <c r="G679" s="1" t="s">
        <v>31</v>
      </c>
      <c r="H679" s="1">
        <v>2</v>
      </c>
      <c r="I679" s="1">
        <f>Table1[[#This Row],[Units_Sold]]*Table1[[#This Row],[Unit_Price]]</f>
        <v>260.58</v>
      </c>
      <c r="J679" s="1">
        <v>130.29</v>
      </c>
      <c r="K679" s="1">
        <v>0</v>
      </c>
      <c r="L679" s="1">
        <v>260.58</v>
      </c>
      <c r="M679" s="1">
        <v>71.010000000000005</v>
      </c>
      <c r="N679" s="1">
        <v>36</v>
      </c>
      <c r="O679" s="1" t="s">
        <v>19</v>
      </c>
      <c r="P679" s="1" t="s">
        <v>35</v>
      </c>
    </row>
    <row r="680" spans="1:16" x14ac:dyDescent="0.3">
      <c r="A680" s="1">
        <v>100547</v>
      </c>
      <c r="B680" s="2">
        <v>45598</v>
      </c>
      <c r="C680" s="1" t="s">
        <v>724</v>
      </c>
      <c r="D680" s="1" t="s">
        <v>53</v>
      </c>
      <c r="E680" s="1" t="s">
        <v>30</v>
      </c>
      <c r="F680" s="1" t="s">
        <v>1239</v>
      </c>
      <c r="G680" s="1" t="s">
        <v>31</v>
      </c>
      <c r="H680" s="1">
        <v>2</v>
      </c>
      <c r="I680" s="1">
        <f>Table1[[#This Row],[Units_Sold]]*Table1[[#This Row],[Unit_Price]]</f>
        <v>40.54</v>
      </c>
      <c r="J680" s="1">
        <v>20.27</v>
      </c>
      <c r="K680" s="1">
        <v>0</v>
      </c>
      <c r="L680" s="1">
        <v>40.54</v>
      </c>
      <c r="M680" s="1">
        <v>16.190000000000001</v>
      </c>
      <c r="N680" s="1">
        <v>38</v>
      </c>
      <c r="O680" s="1" t="s">
        <v>19</v>
      </c>
      <c r="P680" s="1" t="s">
        <v>43</v>
      </c>
    </row>
    <row r="681" spans="1:16" x14ac:dyDescent="0.3">
      <c r="A681" s="1">
        <v>100879</v>
      </c>
      <c r="B681" s="2">
        <v>45211</v>
      </c>
      <c r="C681" s="1" t="s">
        <v>725</v>
      </c>
      <c r="D681" s="1" t="s">
        <v>34</v>
      </c>
      <c r="E681" s="1" t="s">
        <v>30</v>
      </c>
      <c r="F681" s="1" t="s">
        <v>1238</v>
      </c>
      <c r="G681" s="1" t="s">
        <v>18</v>
      </c>
      <c r="H681" s="1">
        <v>3</v>
      </c>
      <c r="I681" s="1">
        <f>Table1[[#This Row],[Units_Sold]]*Table1[[#This Row],[Unit_Price]]</f>
        <v>181.77</v>
      </c>
      <c r="J681" s="1">
        <v>60.59</v>
      </c>
      <c r="K681" s="1">
        <v>0</v>
      </c>
      <c r="L681" s="1">
        <v>181.77</v>
      </c>
      <c r="M681" s="1">
        <v>68.459999999999994</v>
      </c>
      <c r="N681" s="1">
        <v>34</v>
      </c>
      <c r="O681" s="1" t="s">
        <v>26</v>
      </c>
      <c r="P681" s="1" t="s">
        <v>81</v>
      </c>
    </row>
    <row r="682" spans="1:16" x14ac:dyDescent="0.3">
      <c r="A682" s="1">
        <v>100899</v>
      </c>
      <c r="B682" s="2">
        <v>45239</v>
      </c>
      <c r="C682" s="1" t="s">
        <v>726</v>
      </c>
      <c r="D682" s="1" t="s">
        <v>29</v>
      </c>
      <c r="E682" s="1" t="s">
        <v>30</v>
      </c>
      <c r="F682" s="1" t="s">
        <v>1237</v>
      </c>
      <c r="G682" s="1" t="s">
        <v>31</v>
      </c>
      <c r="H682" s="1">
        <v>3</v>
      </c>
      <c r="I682" s="1">
        <f>Table1[[#This Row],[Units_Sold]]*Table1[[#This Row],[Unit_Price]]</f>
        <v>52.199999999999996</v>
      </c>
      <c r="J682" s="1">
        <v>17.399999999999999</v>
      </c>
      <c r="K682" s="1">
        <v>20</v>
      </c>
      <c r="L682" s="1">
        <v>41.76</v>
      </c>
      <c r="M682" s="1">
        <v>12.74</v>
      </c>
      <c r="N682" s="1">
        <v>33</v>
      </c>
      <c r="O682" s="1" t="s">
        <v>19</v>
      </c>
      <c r="P682" s="1" t="s">
        <v>32</v>
      </c>
    </row>
    <row r="683" spans="1:16" x14ac:dyDescent="0.3">
      <c r="A683" s="1">
        <v>100456</v>
      </c>
      <c r="B683" s="2">
        <v>45620</v>
      </c>
      <c r="C683" s="1" t="s">
        <v>727</v>
      </c>
      <c r="D683" s="1" t="s">
        <v>59</v>
      </c>
      <c r="E683" s="1" t="s">
        <v>17</v>
      </c>
      <c r="F683" s="1" t="s">
        <v>1241</v>
      </c>
      <c r="G683" s="1" t="s">
        <v>48</v>
      </c>
      <c r="H683" s="1">
        <v>3</v>
      </c>
      <c r="I683" s="1">
        <f>Table1[[#This Row],[Units_Sold]]*Table1[[#This Row],[Unit_Price]]</f>
        <v>94.11</v>
      </c>
      <c r="J683" s="1">
        <v>31.37</v>
      </c>
      <c r="K683" s="1">
        <v>0</v>
      </c>
      <c r="L683" s="1">
        <v>94.11</v>
      </c>
      <c r="M683" s="1">
        <v>26</v>
      </c>
      <c r="N683" s="1">
        <v>23</v>
      </c>
      <c r="O683" s="1" t="s">
        <v>26</v>
      </c>
      <c r="P683" s="1" t="s">
        <v>81</v>
      </c>
    </row>
    <row r="684" spans="1:16" x14ac:dyDescent="0.3">
      <c r="A684" s="1">
        <v>100393</v>
      </c>
      <c r="B684" s="2">
        <v>45598</v>
      </c>
      <c r="C684" s="1" t="s">
        <v>728</v>
      </c>
      <c r="D684" s="1" t="s">
        <v>53</v>
      </c>
      <c r="E684" s="1" t="s">
        <v>30</v>
      </c>
      <c r="F684" s="1" t="s">
        <v>1241</v>
      </c>
      <c r="G684" s="1" t="s">
        <v>18</v>
      </c>
      <c r="H684" s="1">
        <v>3</v>
      </c>
      <c r="I684" s="1">
        <f>Table1[[#This Row],[Units_Sold]]*Table1[[#This Row],[Unit_Price]]</f>
        <v>67.92</v>
      </c>
      <c r="J684" s="1">
        <v>22.64</v>
      </c>
      <c r="K684" s="1">
        <v>0</v>
      </c>
      <c r="L684" s="1">
        <v>67.92</v>
      </c>
      <c r="M684" s="1">
        <v>24.2</v>
      </c>
      <c r="N684" s="1">
        <v>22</v>
      </c>
      <c r="O684" s="1" t="s">
        <v>26</v>
      </c>
      <c r="P684" s="1" t="s">
        <v>81</v>
      </c>
    </row>
    <row r="685" spans="1:16" x14ac:dyDescent="0.3">
      <c r="A685" s="1">
        <v>100675</v>
      </c>
      <c r="B685" s="2">
        <v>45827</v>
      </c>
      <c r="C685" s="1" t="s">
        <v>729</v>
      </c>
      <c r="D685" s="1" t="s">
        <v>53</v>
      </c>
      <c r="E685" s="1" t="s">
        <v>30</v>
      </c>
      <c r="F685" s="1" t="s">
        <v>1241</v>
      </c>
      <c r="G685" s="1" t="s">
        <v>64</v>
      </c>
      <c r="H685" s="1">
        <v>4</v>
      </c>
      <c r="I685" s="1">
        <f>Table1[[#This Row],[Units_Sold]]*Table1[[#This Row],[Unit_Price]]</f>
        <v>89.32</v>
      </c>
      <c r="J685" s="1">
        <v>22.33</v>
      </c>
      <c r="K685" s="1">
        <v>10</v>
      </c>
      <c r="L685" s="1">
        <v>80.39</v>
      </c>
      <c r="M685" s="1">
        <v>25.99</v>
      </c>
      <c r="N685" s="1">
        <v>33</v>
      </c>
      <c r="O685" s="1" t="s">
        <v>19</v>
      </c>
      <c r="P685" s="1" t="s">
        <v>20</v>
      </c>
    </row>
    <row r="686" spans="1:16" x14ac:dyDescent="0.3">
      <c r="A686" s="1">
        <v>100911</v>
      </c>
      <c r="B686" s="2">
        <v>44935</v>
      </c>
      <c r="C686" s="1" t="s">
        <v>730</v>
      </c>
      <c r="D686" s="1" t="s">
        <v>16</v>
      </c>
      <c r="E686" s="1" t="s">
        <v>17</v>
      </c>
      <c r="F686" s="1" t="s">
        <v>1238</v>
      </c>
      <c r="G686" s="1" t="s">
        <v>64</v>
      </c>
      <c r="H686" s="1">
        <v>4</v>
      </c>
      <c r="I686" s="1">
        <f>Table1[[#This Row],[Units_Sold]]*Table1[[#This Row],[Unit_Price]]</f>
        <v>222.64</v>
      </c>
      <c r="J686" s="1">
        <v>55.66</v>
      </c>
      <c r="K686" s="1">
        <v>5</v>
      </c>
      <c r="L686" s="1">
        <v>211.51</v>
      </c>
      <c r="M686" s="1">
        <v>53.47</v>
      </c>
      <c r="N686" s="1">
        <v>26</v>
      </c>
      <c r="O686" s="1" t="s">
        <v>19</v>
      </c>
      <c r="P686" s="1" t="s">
        <v>81</v>
      </c>
    </row>
    <row r="687" spans="1:16" x14ac:dyDescent="0.3">
      <c r="A687" s="1">
        <v>100964</v>
      </c>
      <c r="B687" s="2">
        <v>45107</v>
      </c>
      <c r="C687" s="1" t="s">
        <v>731</v>
      </c>
      <c r="D687" s="1" t="s">
        <v>59</v>
      </c>
      <c r="E687" s="1" t="s">
        <v>17</v>
      </c>
      <c r="F687" s="1" t="s">
        <v>1241</v>
      </c>
      <c r="G687" s="1" t="s">
        <v>31</v>
      </c>
      <c r="H687" s="1">
        <v>5</v>
      </c>
      <c r="I687" s="1">
        <f>Table1[[#This Row],[Units_Sold]]*Table1[[#This Row],[Unit_Price]]</f>
        <v>144.9</v>
      </c>
      <c r="J687" s="1">
        <v>28.98</v>
      </c>
      <c r="K687" s="1">
        <v>20</v>
      </c>
      <c r="L687" s="1">
        <v>115.92</v>
      </c>
      <c r="M687" s="1">
        <v>39.82</v>
      </c>
      <c r="N687" s="1">
        <v>29</v>
      </c>
      <c r="O687" s="1" t="s">
        <v>26</v>
      </c>
      <c r="P687" s="1" t="s">
        <v>27</v>
      </c>
    </row>
    <row r="688" spans="1:16" x14ac:dyDescent="0.3">
      <c r="A688" s="1">
        <v>100375</v>
      </c>
      <c r="B688" s="2">
        <v>45804</v>
      </c>
      <c r="C688" s="1" t="s">
        <v>732</v>
      </c>
      <c r="D688" s="1" t="s">
        <v>22</v>
      </c>
      <c r="E688" s="1" t="s">
        <v>17</v>
      </c>
      <c r="F688" s="1" t="s">
        <v>1239</v>
      </c>
      <c r="G688" s="1" t="s">
        <v>18</v>
      </c>
      <c r="H688" s="1">
        <v>3</v>
      </c>
      <c r="I688" s="1">
        <f>Table1[[#This Row],[Units_Sold]]*Table1[[#This Row],[Unit_Price]]</f>
        <v>74.849999999999994</v>
      </c>
      <c r="J688" s="1">
        <v>24.95</v>
      </c>
      <c r="K688" s="1">
        <v>0</v>
      </c>
      <c r="L688" s="1">
        <v>74.849999999999994</v>
      </c>
      <c r="M688" s="1">
        <v>17.399999999999999</v>
      </c>
      <c r="N688" s="1">
        <v>27</v>
      </c>
      <c r="O688" s="1" t="s">
        <v>19</v>
      </c>
      <c r="P688" s="1" t="s">
        <v>32</v>
      </c>
    </row>
    <row r="689" spans="1:16" x14ac:dyDescent="0.3">
      <c r="A689" s="1">
        <v>100412</v>
      </c>
      <c r="B689" s="2">
        <v>44940</v>
      </c>
      <c r="C689" s="1" t="s">
        <v>733</v>
      </c>
      <c r="D689" s="1" t="s">
        <v>24</v>
      </c>
      <c r="E689" s="1" t="s">
        <v>25</v>
      </c>
      <c r="F689" s="1" t="s">
        <v>1239</v>
      </c>
      <c r="G689" s="1" t="s">
        <v>31</v>
      </c>
      <c r="H689" s="1">
        <v>5</v>
      </c>
      <c r="I689" s="1">
        <f>Table1[[#This Row],[Units_Sold]]*Table1[[#This Row],[Unit_Price]]</f>
        <v>458.7</v>
      </c>
      <c r="J689" s="1">
        <v>91.74</v>
      </c>
      <c r="K689" s="1">
        <v>0</v>
      </c>
      <c r="L689" s="1">
        <v>458.7</v>
      </c>
      <c r="M689" s="1">
        <v>151.11000000000001</v>
      </c>
      <c r="N689" s="1">
        <v>30</v>
      </c>
      <c r="O689" s="1" t="s">
        <v>26</v>
      </c>
      <c r="P689" s="1" t="s">
        <v>27</v>
      </c>
    </row>
    <row r="690" spans="1:16" x14ac:dyDescent="0.3">
      <c r="A690" s="1">
        <v>100074</v>
      </c>
      <c r="B690" s="2">
        <v>45049</v>
      </c>
      <c r="C690" s="1" t="s">
        <v>734</v>
      </c>
      <c r="D690" s="1" t="s">
        <v>45</v>
      </c>
      <c r="E690" s="1" t="s">
        <v>30</v>
      </c>
      <c r="F690" s="1" t="s">
        <v>1237</v>
      </c>
      <c r="G690" s="1" t="s">
        <v>18</v>
      </c>
      <c r="H690" s="1">
        <v>2</v>
      </c>
      <c r="I690" s="1">
        <f>Table1[[#This Row],[Units_Sold]]*Table1[[#This Row],[Unit_Price]]</f>
        <v>32.28</v>
      </c>
      <c r="J690" s="1">
        <v>16.14</v>
      </c>
      <c r="K690" s="1">
        <v>0</v>
      </c>
      <c r="L690" s="1">
        <v>32.28</v>
      </c>
      <c r="M690" s="1">
        <v>9.35</v>
      </c>
      <c r="N690" s="1">
        <v>19</v>
      </c>
      <c r="O690" s="1" t="s">
        <v>19</v>
      </c>
      <c r="P690" s="1" t="s">
        <v>20</v>
      </c>
    </row>
    <row r="691" spans="1:16" x14ac:dyDescent="0.3">
      <c r="A691" s="1">
        <v>101121</v>
      </c>
      <c r="B691" s="2">
        <v>45208</v>
      </c>
      <c r="C691" s="1" t="s">
        <v>735</v>
      </c>
      <c r="D691" s="1" t="s">
        <v>24</v>
      </c>
      <c r="E691" s="1" t="s">
        <v>25</v>
      </c>
      <c r="F691" s="1" t="s">
        <v>1237</v>
      </c>
      <c r="G691" s="1" t="s">
        <v>31</v>
      </c>
      <c r="H691" s="1">
        <v>5</v>
      </c>
      <c r="I691" s="1">
        <f>Table1[[#This Row],[Units_Sold]]*Table1[[#This Row],[Unit_Price]]</f>
        <v>429.35</v>
      </c>
      <c r="J691" s="1">
        <v>85.87</v>
      </c>
      <c r="K691" s="1">
        <v>0</v>
      </c>
      <c r="L691" s="1">
        <v>429.35</v>
      </c>
      <c r="M691" s="1">
        <v>171.55</v>
      </c>
      <c r="N691" s="1">
        <v>33</v>
      </c>
      <c r="O691" s="1" t="s">
        <v>19</v>
      </c>
      <c r="P691" s="1" t="s">
        <v>27</v>
      </c>
    </row>
    <row r="692" spans="1:16" x14ac:dyDescent="0.3">
      <c r="A692" s="1">
        <v>100862</v>
      </c>
      <c r="B692" s="2">
        <v>45179</v>
      </c>
      <c r="C692" s="1" t="s">
        <v>736</v>
      </c>
      <c r="D692" s="1" t="s">
        <v>45</v>
      </c>
      <c r="E692" s="1" t="s">
        <v>30</v>
      </c>
      <c r="F692" s="1" t="s">
        <v>1241</v>
      </c>
      <c r="G692" s="1" t="s">
        <v>31</v>
      </c>
      <c r="H692" s="1">
        <v>6</v>
      </c>
      <c r="I692" s="1">
        <f>Table1[[#This Row],[Units_Sold]]*Table1[[#This Row],[Unit_Price]]</f>
        <v>89.94</v>
      </c>
      <c r="J692" s="1">
        <v>14.99</v>
      </c>
      <c r="K692" s="1">
        <v>0</v>
      </c>
      <c r="L692" s="1">
        <v>89.94</v>
      </c>
      <c r="M692" s="1">
        <v>30.68</v>
      </c>
      <c r="N692" s="1">
        <v>43</v>
      </c>
      <c r="O692" s="1" t="s">
        <v>26</v>
      </c>
      <c r="P692" s="1" t="s">
        <v>51</v>
      </c>
    </row>
    <row r="693" spans="1:16" x14ac:dyDescent="0.3">
      <c r="A693" s="1">
        <v>100500</v>
      </c>
      <c r="B693" s="2">
        <v>45004</v>
      </c>
      <c r="C693" s="1" t="s">
        <v>737</v>
      </c>
      <c r="D693" s="1" t="s">
        <v>45</v>
      </c>
      <c r="E693" s="1" t="s">
        <v>30</v>
      </c>
      <c r="F693" s="1" t="s">
        <v>1238</v>
      </c>
      <c r="G693" s="1" t="s">
        <v>18</v>
      </c>
      <c r="H693" s="1">
        <v>2</v>
      </c>
      <c r="I693" s="1">
        <f>Table1[[#This Row],[Units_Sold]]*Table1[[#This Row],[Unit_Price]]</f>
        <v>28.9</v>
      </c>
      <c r="J693" s="1">
        <v>14.45</v>
      </c>
      <c r="K693" s="1">
        <v>0</v>
      </c>
      <c r="L693" s="1">
        <v>28.9</v>
      </c>
      <c r="M693" s="1">
        <v>9.4</v>
      </c>
      <c r="N693" s="1">
        <v>27</v>
      </c>
      <c r="O693" s="1" t="s">
        <v>19</v>
      </c>
      <c r="P693" s="1" t="s">
        <v>20</v>
      </c>
    </row>
    <row r="694" spans="1:16" x14ac:dyDescent="0.3">
      <c r="A694" s="1">
        <v>100941</v>
      </c>
      <c r="B694" s="2">
        <v>45577</v>
      </c>
      <c r="C694" s="1" t="s">
        <v>738</v>
      </c>
      <c r="D694" s="1" t="s">
        <v>66</v>
      </c>
      <c r="E694" s="1" t="s">
        <v>17</v>
      </c>
      <c r="F694" s="1" t="s">
        <v>1237</v>
      </c>
      <c r="G694" s="1" t="s">
        <v>18</v>
      </c>
      <c r="H694" s="1">
        <v>2</v>
      </c>
      <c r="I694" s="1">
        <f>Table1[[#This Row],[Units_Sold]]*Table1[[#This Row],[Unit_Price]]</f>
        <v>216.3</v>
      </c>
      <c r="J694" s="1">
        <v>108.15</v>
      </c>
      <c r="K694" s="1">
        <v>0</v>
      </c>
      <c r="L694" s="1">
        <v>216.3</v>
      </c>
      <c r="M694" s="1">
        <v>77.28</v>
      </c>
      <c r="N694" s="1">
        <v>30</v>
      </c>
      <c r="O694" s="1" t="s">
        <v>26</v>
      </c>
      <c r="P694" s="1" t="s">
        <v>46</v>
      </c>
    </row>
    <row r="695" spans="1:16" x14ac:dyDescent="0.3">
      <c r="A695" s="1">
        <v>100616</v>
      </c>
      <c r="B695" s="2">
        <v>45837</v>
      </c>
      <c r="C695" s="1" t="s">
        <v>226</v>
      </c>
      <c r="D695" s="1" t="s">
        <v>70</v>
      </c>
      <c r="E695" s="1" t="s">
        <v>25</v>
      </c>
      <c r="F695" s="1" t="s">
        <v>1237</v>
      </c>
      <c r="G695" s="1" t="s">
        <v>31</v>
      </c>
      <c r="H695" s="1">
        <v>6</v>
      </c>
      <c r="I695" s="1">
        <f>Table1[[#This Row],[Units_Sold]]*Table1[[#This Row],[Unit_Price]]</f>
        <v>897.72</v>
      </c>
      <c r="J695" s="1">
        <v>149.62</v>
      </c>
      <c r="K695" s="1">
        <v>10</v>
      </c>
      <c r="L695" s="1">
        <v>807.95</v>
      </c>
      <c r="M695" s="1">
        <v>253.48</v>
      </c>
      <c r="N695" s="1">
        <v>23</v>
      </c>
      <c r="O695" s="1" t="s">
        <v>26</v>
      </c>
      <c r="P695" s="1" t="s">
        <v>20</v>
      </c>
    </row>
    <row r="696" spans="1:16" x14ac:dyDescent="0.3">
      <c r="A696" s="1">
        <v>100114</v>
      </c>
      <c r="B696" s="2">
        <v>44941</v>
      </c>
      <c r="C696" s="1" t="s">
        <v>739</v>
      </c>
      <c r="D696" s="1" t="s">
        <v>22</v>
      </c>
      <c r="E696" s="1" t="s">
        <v>17</v>
      </c>
      <c r="F696" s="1" t="s">
        <v>1238</v>
      </c>
      <c r="G696" s="1" t="s">
        <v>31</v>
      </c>
      <c r="H696" s="1">
        <v>4</v>
      </c>
      <c r="I696" s="1">
        <f>Table1[[#This Row],[Units_Sold]]*Table1[[#This Row],[Unit_Price]]</f>
        <v>112.08</v>
      </c>
      <c r="J696" s="1">
        <v>28.02</v>
      </c>
      <c r="K696" s="1">
        <v>0</v>
      </c>
      <c r="L696" s="1">
        <v>112.08</v>
      </c>
      <c r="M696" s="1">
        <v>34.090000000000003</v>
      </c>
      <c r="N696" s="1">
        <v>40</v>
      </c>
      <c r="O696" s="1" t="s">
        <v>19</v>
      </c>
      <c r="P696" s="1" t="s">
        <v>32</v>
      </c>
    </row>
    <row r="697" spans="1:16" x14ac:dyDescent="0.3">
      <c r="A697" s="1">
        <v>100417</v>
      </c>
      <c r="B697" s="2">
        <v>45591</v>
      </c>
      <c r="C697" s="1" t="s">
        <v>740</v>
      </c>
      <c r="D697" s="1" t="s">
        <v>42</v>
      </c>
      <c r="E697" s="1" t="s">
        <v>25</v>
      </c>
      <c r="F697" s="1" t="s">
        <v>1237</v>
      </c>
      <c r="G697" s="1" t="s">
        <v>18</v>
      </c>
      <c r="H697" s="1">
        <v>2</v>
      </c>
      <c r="I697" s="1">
        <f>Table1[[#This Row],[Units_Sold]]*Table1[[#This Row],[Unit_Price]]</f>
        <v>329.1</v>
      </c>
      <c r="J697" s="1">
        <v>164.55</v>
      </c>
      <c r="K697" s="1">
        <v>10</v>
      </c>
      <c r="L697" s="1">
        <v>296.19</v>
      </c>
      <c r="M697" s="1">
        <v>70.34</v>
      </c>
      <c r="N697" s="1">
        <v>34</v>
      </c>
      <c r="O697" s="1" t="s">
        <v>19</v>
      </c>
      <c r="P697" s="1" t="s">
        <v>35</v>
      </c>
    </row>
    <row r="698" spans="1:16" x14ac:dyDescent="0.3">
      <c r="A698" s="1">
        <v>100601</v>
      </c>
      <c r="B698" s="2">
        <v>45038</v>
      </c>
      <c r="C698" s="1" t="s">
        <v>741</v>
      </c>
      <c r="D698" s="1" t="s">
        <v>77</v>
      </c>
      <c r="E698" s="1" t="s">
        <v>30</v>
      </c>
      <c r="F698" s="1" t="s">
        <v>1237</v>
      </c>
      <c r="G698" s="1" t="s">
        <v>64</v>
      </c>
      <c r="H698" s="1">
        <v>3</v>
      </c>
      <c r="I698" s="1">
        <f>Table1[[#This Row],[Units_Sold]]*Table1[[#This Row],[Unit_Price]]</f>
        <v>124.32</v>
      </c>
      <c r="J698" s="1">
        <v>41.44</v>
      </c>
      <c r="K698" s="1">
        <v>0</v>
      </c>
      <c r="L698" s="1">
        <v>124.32</v>
      </c>
      <c r="M698" s="1">
        <v>55.15</v>
      </c>
      <c r="N698" s="1">
        <v>37</v>
      </c>
      <c r="O698" s="1" t="s">
        <v>26</v>
      </c>
      <c r="P698" s="1" t="s">
        <v>20</v>
      </c>
    </row>
    <row r="699" spans="1:16" x14ac:dyDescent="0.3">
      <c r="A699" s="1">
        <v>100604</v>
      </c>
      <c r="B699" s="2">
        <v>45567</v>
      </c>
      <c r="C699" s="1" t="s">
        <v>742</v>
      </c>
      <c r="D699" s="1" t="s">
        <v>87</v>
      </c>
      <c r="E699" s="1" t="s">
        <v>25</v>
      </c>
      <c r="F699" s="1" t="s">
        <v>1241</v>
      </c>
      <c r="G699" s="1" t="s">
        <v>31</v>
      </c>
      <c r="H699" s="1">
        <v>4</v>
      </c>
      <c r="I699" s="1">
        <f>Table1[[#This Row],[Units_Sold]]*Table1[[#This Row],[Unit_Price]]</f>
        <v>332.2</v>
      </c>
      <c r="J699" s="1">
        <v>83.05</v>
      </c>
      <c r="K699" s="1">
        <v>0</v>
      </c>
      <c r="L699" s="1">
        <v>332.2</v>
      </c>
      <c r="M699" s="1">
        <v>64.53</v>
      </c>
      <c r="N699" s="1">
        <v>28</v>
      </c>
      <c r="O699" s="1" t="s">
        <v>26</v>
      </c>
      <c r="P699" s="1" t="s">
        <v>81</v>
      </c>
    </row>
    <row r="700" spans="1:16" x14ac:dyDescent="0.3">
      <c r="A700" s="1">
        <v>100089</v>
      </c>
      <c r="B700" s="2">
        <v>45605</v>
      </c>
      <c r="C700" s="1" t="s">
        <v>743</v>
      </c>
      <c r="D700" s="1" t="s">
        <v>62</v>
      </c>
      <c r="E700" s="1" t="s">
        <v>17</v>
      </c>
      <c r="F700" s="1" t="s">
        <v>1237</v>
      </c>
      <c r="G700" s="1" t="s">
        <v>31</v>
      </c>
      <c r="H700" s="1">
        <v>1</v>
      </c>
      <c r="I700" s="1">
        <f>Table1[[#This Row],[Units_Sold]]*Table1[[#This Row],[Unit_Price]]</f>
        <v>153.49</v>
      </c>
      <c r="J700" s="1">
        <v>153.49</v>
      </c>
      <c r="K700" s="1">
        <v>0</v>
      </c>
      <c r="L700" s="1">
        <v>153.49</v>
      </c>
      <c r="M700" s="1">
        <v>41.94</v>
      </c>
      <c r="N700" s="1">
        <v>28</v>
      </c>
      <c r="O700" s="1" t="s">
        <v>26</v>
      </c>
      <c r="P700" s="1" t="s">
        <v>43</v>
      </c>
    </row>
    <row r="701" spans="1:16" x14ac:dyDescent="0.3">
      <c r="A701" s="1">
        <v>101148</v>
      </c>
      <c r="B701" s="2">
        <v>45275</v>
      </c>
      <c r="C701" s="1" t="s">
        <v>744</v>
      </c>
      <c r="D701" s="1" t="s">
        <v>73</v>
      </c>
      <c r="E701" s="1" t="s">
        <v>25</v>
      </c>
      <c r="F701" s="1" t="s">
        <v>1237</v>
      </c>
      <c r="G701" s="1" t="s">
        <v>31</v>
      </c>
      <c r="H701" s="1">
        <v>3</v>
      </c>
      <c r="I701" s="1">
        <f>Table1[[#This Row],[Units_Sold]]*Table1[[#This Row],[Unit_Price]]</f>
        <v>107.55000000000001</v>
      </c>
      <c r="J701" s="1">
        <v>35.85</v>
      </c>
      <c r="K701" s="1">
        <v>0</v>
      </c>
      <c r="L701" s="1">
        <v>107.55</v>
      </c>
      <c r="M701" s="1">
        <v>29.32</v>
      </c>
      <c r="N701" s="1">
        <v>20</v>
      </c>
      <c r="O701" s="1" t="s">
        <v>26</v>
      </c>
      <c r="P701" s="1" t="s">
        <v>20</v>
      </c>
    </row>
    <row r="702" spans="1:16" x14ac:dyDescent="0.3">
      <c r="A702" s="1">
        <v>100498</v>
      </c>
      <c r="B702" s="2">
        <v>45420</v>
      </c>
      <c r="C702" s="1" t="s">
        <v>745</v>
      </c>
      <c r="D702" s="1" t="s">
        <v>87</v>
      </c>
      <c r="E702" s="1" t="s">
        <v>25</v>
      </c>
      <c r="F702" s="1" t="s">
        <v>1238</v>
      </c>
      <c r="G702" s="1" t="s">
        <v>31</v>
      </c>
      <c r="H702" s="1">
        <v>4</v>
      </c>
      <c r="I702" s="1">
        <f>Table1[[#This Row],[Units_Sold]]*Table1[[#This Row],[Unit_Price]]</f>
        <v>352.6</v>
      </c>
      <c r="J702" s="1">
        <v>88.15</v>
      </c>
      <c r="K702" s="1">
        <v>40</v>
      </c>
      <c r="L702" s="1">
        <v>211.56</v>
      </c>
      <c r="M702" s="1">
        <v>49.01</v>
      </c>
      <c r="N702" s="1">
        <v>24</v>
      </c>
      <c r="O702" s="1" t="s">
        <v>26</v>
      </c>
      <c r="P702" s="1" t="s">
        <v>51</v>
      </c>
    </row>
    <row r="703" spans="1:16" x14ac:dyDescent="0.3">
      <c r="A703" s="1">
        <v>100875</v>
      </c>
      <c r="B703" s="2">
        <v>45101</v>
      </c>
      <c r="C703" s="1" t="s">
        <v>746</v>
      </c>
      <c r="D703" s="1" t="s">
        <v>45</v>
      </c>
      <c r="E703" s="1" t="s">
        <v>30</v>
      </c>
      <c r="F703" s="1" t="s">
        <v>1237</v>
      </c>
      <c r="G703" s="1" t="s">
        <v>31</v>
      </c>
      <c r="H703" s="1">
        <v>1</v>
      </c>
      <c r="I703" s="1">
        <f>Table1[[#This Row],[Units_Sold]]*Table1[[#This Row],[Unit_Price]]</f>
        <v>15.3</v>
      </c>
      <c r="J703" s="1">
        <v>15.3</v>
      </c>
      <c r="K703" s="1">
        <v>20</v>
      </c>
      <c r="L703" s="1">
        <v>12.24</v>
      </c>
      <c r="M703" s="1">
        <v>3.03</v>
      </c>
      <c r="N703" s="1">
        <v>23</v>
      </c>
      <c r="O703" s="1" t="s">
        <v>19</v>
      </c>
      <c r="P703" s="1" t="s">
        <v>35</v>
      </c>
    </row>
    <row r="704" spans="1:16" x14ac:dyDescent="0.3">
      <c r="A704" s="1">
        <v>100926</v>
      </c>
      <c r="B704" s="2">
        <v>45642</v>
      </c>
      <c r="C704" s="1" t="s">
        <v>747</v>
      </c>
      <c r="D704" s="1" t="s">
        <v>70</v>
      </c>
      <c r="E704" s="1" t="s">
        <v>25</v>
      </c>
      <c r="F704" s="1" t="s">
        <v>1239</v>
      </c>
      <c r="G704" s="1" t="s">
        <v>18</v>
      </c>
      <c r="H704" s="1">
        <v>3</v>
      </c>
      <c r="I704" s="1">
        <f>Table1[[#This Row],[Units_Sold]]*Table1[[#This Row],[Unit_Price]]</f>
        <v>485.37</v>
      </c>
      <c r="J704" s="1">
        <v>161.79</v>
      </c>
      <c r="K704" s="1">
        <v>20</v>
      </c>
      <c r="L704" s="1">
        <v>388.3</v>
      </c>
      <c r="M704" s="1">
        <v>89.31</v>
      </c>
      <c r="N704" s="1">
        <v>47</v>
      </c>
      <c r="O704" s="1" t="s">
        <v>19</v>
      </c>
      <c r="P704" s="1" t="s">
        <v>20</v>
      </c>
    </row>
    <row r="705" spans="1:16" x14ac:dyDescent="0.3">
      <c r="A705" s="1">
        <v>100998</v>
      </c>
      <c r="B705" s="2">
        <v>45028</v>
      </c>
      <c r="C705" s="1" t="s">
        <v>748</v>
      </c>
      <c r="D705" s="1" t="s">
        <v>66</v>
      </c>
      <c r="E705" s="1" t="s">
        <v>17</v>
      </c>
      <c r="F705" s="1" t="s">
        <v>1239</v>
      </c>
      <c r="G705" s="1" t="s">
        <v>31</v>
      </c>
      <c r="H705" s="1">
        <v>2</v>
      </c>
      <c r="I705" s="1">
        <f>Table1[[#This Row],[Units_Sold]]*Table1[[#This Row],[Unit_Price]]</f>
        <v>225.18</v>
      </c>
      <c r="J705" s="1">
        <v>112.59</v>
      </c>
      <c r="K705" s="1">
        <v>10</v>
      </c>
      <c r="L705" s="1">
        <v>202.66</v>
      </c>
      <c r="M705" s="1">
        <v>50.69</v>
      </c>
      <c r="N705" s="1">
        <v>27</v>
      </c>
      <c r="O705" s="1" t="s">
        <v>26</v>
      </c>
      <c r="P705" s="1" t="s">
        <v>81</v>
      </c>
    </row>
    <row r="706" spans="1:16" x14ac:dyDescent="0.3">
      <c r="A706" s="1">
        <v>100011</v>
      </c>
      <c r="B706" s="2">
        <v>45321</v>
      </c>
      <c r="C706" s="1" t="s">
        <v>749</v>
      </c>
      <c r="D706" s="1" t="s">
        <v>62</v>
      </c>
      <c r="E706" s="1" t="s">
        <v>17</v>
      </c>
      <c r="F706" s="1" t="s">
        <v>1238</v>
      </c>
      <c r="G706" s="1" t="s">
        <v>18</v>
      </c>
      <c r="H706" s="1">
        <v>3</v>
      </c>
      <c r="I706" s="1">
        <f>Table1[[#This Row],[Units_Sold]]*Table1[[#This Row],[Unit_Price]]</f>
        <v>449.82</v>
      </c>
      <c r="J706" s="1">
        <v>149.94</v>
      </c>
      <c r="K706" s="1">
        <v>0</v>
      </c>
      <c r="L706" s="1">
        <v>449.82</v>
      </c>
      <c r="M706" s="1">
        <v>103.3</v>
      </c>
      <c r="N706" s="1">
        <v>27</v>
      </c>
      <c r="O706" s="1" t="s">
        <v>19</v>
      </c>
      <c r="P706" s="1" t="s">
        <v>81</v>
      </c>
    </row>
    <row r="707" spans="1:16" x14ac:dyDescent="0.3">
      <c r="A707" s="1">
        <v>100396</v>
      </c>
      <c r="B707" s="2">
        <v>45896</v>
      </c>
      <c r="C707" s="1" t="s">
        <v>750</v>
      </c>
      <c r="D707" s="1" t="s">
        <v>66</v>
      </c>
      <c r="E707" s="1" t="s">
        <v>17</v>
      </c>
      <c r="F707" s="1" t="s">
        <v>1241</v>
      </c>
      <c r="G707" s="1" t="s">
        <v>18</v>
      </c>
      <c r="H707" s="1">
        <v>1</v>
      </c>
      <c r="I707" s="1">
        <f>Table1[[#This Row],[Units_Sold]]*Table1[[#This Row],[Unit_Price]]</f>
        <v>127.11</v>
      </c>
      <c r="J707" s="1">
        <v>127.11</v>
      </c>
      <c r="K707" s="1">
        <v>0</v>
      </c>
      <c r="L707" s="1">
        <v>127.11</v>
      </c>
      <c r="M707" s="1">
        <v>31.68</v>
      </c>
      <c r="N707" s="1">
        <v>17</v>
      </c>
      <c r="O707" s="1" t="s">
        <v>19</v>
      </c>
      <c r="P707" s="1" t="s">
        <v>32</v>
      </c>
    </row>
    <row r="708" spans="1:16" x14ac:dyDescent="0.3">
      <c r="A708" s="1">
        <v>100754</v>
      </c>
      <c r="B708" s="2">
        <v>45251</v>
      </c>
      <c r="C708" s="1" t="s">
        <v>751</v>
      </c>
      <c r="D708" s="1" t="s">
        <v>62</v>
      </c>
      <c r="E708" s="1" t="s">
        <v>17</v>
      </c>
      <c r="F708" s="1" t="s">
        <v>1238</v>
      </c>
      <c r="G708" s="1" t="s">
        <v>18</v>
      </c>
      <c r="H708" s="1">
        <v>6</v>
      </c>
      <c r="I708" s="1">
        <f>Table1[[#This Row],[Units_Sold]]*Table1[[#This Row],[Unit_Price]]</f>
        <v>854.64</v>
      </c>
      <c r="J708" s="1">
        <v>142.44</v>
      </c>
      <c r="K708" s="1">
        <v>0</v>
      </c>
      <c r="L708" s="1">
        <v>854.64</v>
      </c>
      <c r="M708" s="1">
        <v>222.55</v>
      </c>
      <c r="N708" s="1">
        <v>24</v>
      </c>
      <c r="O708" s="1" t="s">
        <v>26</v>
      </c>
      <c r="P708" s="1" t="s">
        <v>51</v>
      </c>
    </row>
    <row r="709" spans="1:16" x14ac:dyDescent="0.3">
      <c r="A709" s="1">
        <v>100555</v>
      </c>
      <c r="B709" s="2">
        <v>44949</v>
      </c>
      <c r="C709" s="1" t="s">
        <v>752</v>
      </c>
      <c r="D709" s="1" t="s">
        <v>22</v>
      </c>
      <c r="E709" s="1" t="s">
        <v>17</v>
      </c>
      <c r="F709" s="1" t="s">
        <v>1238</v>
      </c>
      <c r="G709" s="1" t="s">
        <v>31</v>
      </c>
      <c r="H709" s="1">
        <v>1</v>
      </c>
      <c r="I709" s="1">
        <f>Table1[[#This Row],[Units_Sold]]*Table1[[#This Row],[Unit_Price]]</f>
        <v>24.52</v>
      </c>
      <c r="J709" s="1">
        <v>24.52</v>
      </c>
      <c r="K709" s="1">
        <v>0</v>
      </c>
      <c r="L709" s="1">
        <v>24.52</v>
      </c>
      <c r="M709" s="1">
        <v>8.2100000000000009</v>
      </c>
      <c r="N709" s="1">
        <v>30</v>
      </c>
      <c r="O709" s="1" t="s">
        <v>19</v>
      </c>
      <c r="P709" s="1" t="s">
        <v>27</v>
      </c>
    </row>
    <row r="710" spans="1:16" x14ac:dyDescent="0.3">
      <c r="A710" s="1">
        <v>100042</v>
      </c>
      <c r="B710" s="2">
        <v>45825</v>
      </c>
      <c r="C710" s="1" t="s">
        <v>753</v>
      </c>
      <c r="D710" s="1" t="s">
        <v>22</v>
      </c>
      <c r="E710" s="1" t="s">
        <v>17</v>
      </c>
      <c r="F710" s="1" t="s">
        <v>1240</v>
      </c>
      <c r="G710" s="1" t="s">
        <v>18</v>
      </c>
      <c r="H710" s="1">
        <v>1</v>
      </c>
      <c r="I710" s="1">
        <f>Table1[[#This Row],[Units_Sold]]*Table1[[#This Row],[Unit_Price]]</f>
        <v>26.1</v>
      </c>
      <c r="J710" s="1">
        <v>26.1</v>
      </c>
      <c r="K710" s="1">
        <v>20</v>
      </c>
      <c r="L710" s="1">
        <v>20.88</v>
      </c>
      <c r="M710" s="1">
        <v>4.25</v>
      </c>
      <c r="N710" s="1">
        <v>30</v>
      </c>
      <c r="O710" s="1" t="s">
        <v>26</v>
      </c>
      <c r="P710" s="1" t="s">
        <v>32</v>
      </c>
    </row>
    <row r="711" spans="1:16" x14ac:dyDescent="0.3">
      <c r="A711" s="1">
        <v>100167</v>
      </c>
      <c r="B711" s="2">
        <v>45866</v>
      </c>
      <c r="C711" s="1" t="s">
        <v>754</v>
      </c>
      <c r="D711" s="1" t="s">
        <v>53</v>
      </c>
      <c r="E711" s="1" t="s">
        <v>30</v>
      </c>
      <c r="F711" s="1" t="s">
        <v>1241</v>
      </c>
      <c r="G711" s="1" t="s">
        <v>31</v>
      </c>
      <c r="H711" s="1">
        <v>4</v>
      </c>
      <c r="I711" s="1">
        <f>Table1[[#This Row],[Units_Sold]]*Table1[[#This Row],[Unit_Price]]</f>
        <v>101</v>
      </c>
      <c r="J711" s="1">
        <v>25.25</v>
      </c>
      <c r="K711" s="1">
        <v>0</v>
      </c>
      <c r="L711" s="1">
        <v>101</v>
      </c>
      <c r="M711" s="1">
        <v>39.130000000000003</v>
      </c>
      <c r="N711" s="1">
        <v>34</v>
      </c>
      <c r="O711" s="1" t="s">
        <v>26</v>
      </c>
      <c r="P711" s="1" t="s">
        <v>81</v>
      </c>
    </row>
    <row r="712" spans="1:16" x14ac:dyDescent="0.3">
      <c r="A712" s="1">
        <v>100416</v>
      </c>
      <c r="B712" s="2">
        <v>45308</v>
      </c>
      <c r="C712" s="1" t="s">
        <v>755</v>
      </c>
      <c r="D712" s="1" t="s">
        <v>66</v>
      </c>
      <c r="E712" s="1" t="s">
        <v>17</v>
      </c>
      <c r="F712" s="1" t="s">
        <v>1238</v>
      </c>
      <c r="G712" s="1" t="s">
        <v>64</v>
      </c>
      <c r="H712" s="1">
        <v>2</v>
      </c>
      <c r="I712" s="1">
        <f>Table1[[#This Row],[Units_Sold]]*Table1[[#This Row],[Unit_Price]]</f>
        <v>253.82</v>
      </c>
      <c r="J712" s="1">
        <v>126.91</v>
      </c>
      <c r="K712" s="1">
        <v>20</v>
      </c>
      <c r="L712" s="1">
        <v>203.06</v>
      </c>
      <c r="M712" s="1">
        <v>41.1</v>
      </c>
      <c r="N712" s="1">
        <v>41</v>
      </c>
      <c r="O712" s="1" t="s">
        <v>26</v>
      </c>
      <c r="P712" s="1" t="s">
        <v>32</v>
      </c>
    </row>
    <row r="713" spans="1:16" x14ac:dyDescent="0.3">
      <c r="A713" s="1">
        <v>100576</v>
      </c>
      <c r="B713" s="2">
        <v>45276</v>
      </c>
      <c r="C713" s="1" t="s">
        <v>756</v>
      </c>
      <c r="D713" s="1" t="s">
        <v>62</v>
      </c>
      <c r="E713" s="1" t="s">
        <v>17</v>
      </c>
      <c r="F713" s="1" t="s">
        <v>1241</v>
      </c>
      <c r="G713" s="1" t="s">
        <v>18</v>
      </c>
      <c r="H713" s="1">
        <v>3</v>
      </c>
      <c r="I713" s="1">
        <f>Table1[[#This Row],[Units_Sold]]*Table1[[#This Row],[Unit_Price]]</f>
        <v>354.45000000000005</v>
      </c>
      <c r="J713" s="1">
        <v>118.15</v>
      </c>
      <c r="K713" s="1">
        <v>0</v>
      </c>
      <c r="L713" s="1">
        <v>354.45</v>
      </c>
      <c r="M713" s="1">
        <v>102.3</v>
      </c>
      <c r="N713" s="1">
        <v>42</v>
      </c>
      <c r="O713" s="1" t="s">
        <v>19</v>
      </c>
      <c r="P713" s="1" t="s">
        <v>51</v>
      </c>
    </row>
    <row r="714" spans="1:16" x14ac:dyDescent="0.3">
      <c r="A714" s="1">
        <v>100267</v>
      </c>
      <c r="B714" s="2">
        <v>45084</v>
      </c>
      <c r="C714" s="1" t="s">
        <v>757</v>
      </c>
      <c r="D714" s="1" t="s">
        <v>62</v>
      </c>
      <c r="E714" s="1" t="s">
        <v>17</v>
      </c>
      <c r="F714" s="1" t="s">
        <v>1237</v>
      </c>
      <c r="G714" s="1" t="s">
        <v>31</v>
      </c>
      <c r="H714" s="1">
        <v>3</v>
      </c>
      <c r="I714" s="1">
        <f>Table1[[#This Row],[Units_Sold]]*Table1[[#This Row],[Unit_Price]]</f>
        <v>394.56000000000006</v>
      </c>
      <c r="J714" s="1">
        <v>131.52000000000001</v>
      </c>
      <c r="K714" s="1">
        <v>0</v>
      </c>
      <c r="L714" s="1">
        <v>394.56</v>
      </c>
      <c r="M714" s="1">
        <v>117.13</v>
      </c>
      <c r="N714" s="1">
        <v>22</v>
      </c>
      <c r="O714" s="1" t="s">
        <v>26</v>
      </c>
      <c r="P714" s="1" t="s">
        <v>27</v>
      </c>
    </row>
    <row r="715" spans="1:16" x14ac:dyDescent="0.3">
      <c r="A715" s="1">
        <v>100807</v>
      </c>
      <c r="B715" s="2">
        <v>45349</v>
      </c>
      <c r="C715" s="1" t="s">
        <v>758</v>
      </c>
      <c r="D715" s="1" t="s">
        <v>87</v>
      </c>
      <c r="E715" s="1" t="s">
        <v>25</v>
      </c>
      <c r="F715" s="1" t="s">
        <v>1237</v>
      </c>
      <c r="G715" s="1" t="s">
        <v>48</v>
      </c>
      <c r="H715" s="1">
        <v>4</v>
      </c>
      <c r="I715" s="1">
        <f>Table1[[#This Row],[Units_Sold]]*Table1[[#This Row],[Unit_Price]]</f>
        <v>338.16</v>
      </c>
      <c r="J715" s="1">
        <v>84.54</v>
      </c>
      <c r="K715" s="1">
        <v>5</v>
      </c>
      <c r="L715" s="1">
        <v>321.25</v>
      </c>
      <c r="M715" s="1">
        <v>78.11</v>
      </c>
      <c r="N715" s="1">
        <v>22</v>
      </c>
      <c r="O715" s="1" t="s">
        <v>26</v>
      </c>
      <c r="P715" s="1" t="s">
        <v>27</v>
      </c>
    </row>
    <row r="716" spans="1:16" x14ac:dyDescent="0.3">
      <c r="A716" s="1">
        <v>100426</v>
      </c>
      <c r="B716" s="2">
        <v>45299</v>
      </c>
      <c r="C716" s="1" t="s">
        <v>759</v>
      </c>
      <c r="D716" s="1" t="s">
        <v>70</v>
      </c>
      <c r="E716" s="1" t="s">
        <v>25</v>
      </c>
      <c r="F716" s="1" t="s">
        <v>1239</v>
      </c>
      <c r="G716" s="1" t="s">
        <v>18</v>
      </c>
      <c r="H716" s="1">
        <v>4</v>
      </c>
      <c r="I716" s="1">
        <f>Table1[[#This Row],[Units_Sold]]*Table1[[#This Row],[Unit_Price]]</f>
        <v>620.96</v>
      </c>
      <c r="J716" s="1">
        <v>155.24</v>
      </c>
      <c r="K716" s="1">
        <v>0</v>
      </c>
      <c r="L716" s="1">
        <v>620.96</v>
      </c>
      <c r="M716" s="1">
        <v>198.84</v>
      </c>
      <c r="N716" s="1">
        <v>16</v>
      </c>
      <c r="O716" s="1" t="s">
        <v>19</v>
      </c>
      <c r="P716" s="1" t="s">
        <v>46</v>
      </c>
    </row>
    <row r="717" spans="1:16" x14ac:dyDescent="0.3">
      <c r="A717" s="1">
        <v>100690</v>
      </c>
      <c r="B717" s="2">
        <v>44968</v>
      </c>
      <c r="C717" s="1" t="s">
        <v>760</v>
      </c>
      <c r="D717" s="1" t="s">
        <v>53</v>
      </c>
      <c r="E717" s="1" t="s">
        <v>30</v>
      </c>
      <c r="F717" s="1" t="s">
        <v>1238</v>
      </c>
      <c r="G717" s="1" t="s">
        <v>18</v>
      </c>
      <c r="H717" s="1">
        <v>3</v>
      </c>
      <c r="I717" s="1">
        <f>Table1[[#This Row],[Units_Sold]]*Table1[[#This Row],[Unit_Price]]</f>
        <v>58.679999999999993</v>
      </c>
      <c r="J717" s="1">
        <v>19.559999999999999</v>
      </c>
      <c r="K717" s="1">
        <v>0</v>
      </c>
      <c r="L717" s="1">
        <v>58.68</v>
      </c>
      <c r="M717" s="1">
        <v>22.62</v>
      </c>
      <c r="N717" s="1">
        <v>25</v>
      </c>
      <c r="O717" s="1" t="s">
        <v>26</v>
      </c>
      <c r="P717" s="1" t="s">
        <v>27</v>
      </c>
    </row>
    <row r="718" spans="1:16" x14ac:dyDescent="0.3">
      <c r="A718" s="1">
        <v>100544</v>
      </c>
      <c r="B718" s="2">
        <v>45711</v>
      </c>
      <c r="C718" s="1" t="s">
        <v>761</v>
      </c>
      <c r="D718" s="1" t="s">
        <v>45</v>
      </c>
      <c r="E718" s="1" t="s">
        <v>30</v>
      </c>
      <c r="F718" s="1" t="s">
        <v>1241</v>
      </c>
      <c r="G718" s="1" t="s">
        <v>18</v>
      </c>
      <c r="H718" s="1">
        <v>3</v>
      </c>
      <c r="I718" s="1">
        <f>Table1[[#This Row],[Units_Sold]]*Table1[[#This Row],[Unit_Price]]</f>
        <v>47.46</v>
      </c>
      <c r="J718" s="1">
        <v>15.82</v>
      </c>
      <c r="K718" s="1">
        <v>20</v>
      </c>
      <c r="L718" s="1">
        <v>37.97</v>
      </c>
      <c r="M718" s="1">
        <v>17.440000000000001</v>
      </c>
      <c r="N718" s="1">
        <v>42</v>
      </c>
      <c r="O718" s="1" t="s">
        <v>26</v>
      </c>
      <c r="P718" s="1" t="s">
        <v>27</v>
      </c>
    </row>
    <row r="719" spans="1:16" x14ac:dyDescent="0.3">
      <c r="A719" s="1">
        <v>101122</v>
      </c>
      <c r="B719" s="2">
        <v>45876</v>
      </c>
      <c r="C719" s="1" t="s">
        <v>762</v>
      </c>
      <c r="D719" s="1" t="s">
        <v>100</v>
      </c>
      <c r="E719" s="1" t="s">
        <v>25</v>
      </c>
      <c r="F719" s="1" t="s">
        <v>1241</v>
      </c>
      <c r="G719" s="1" t="s">
        <v>18</v>
      </c>
      <c r="H719" s="1">
        <v>2</v>
      </c>
      <c r="I719" s="1">
        <f>Table1[[#This Row],[Units_Sold]]*Table1[[#This Row],[Unit_Price]]</f>
        <v>293.08</v>
      </c>
      <c r="J719" s="1">
        <v>146.54</v>
      </c>
      <c r="K719" s="1">
        <v>10</v>
      </c>
      <c r="L719" s="1">
        <v>263.77</v>
      </c>
      <c r="M719" s="1">
        <v>71.62</v>
      </c>
      <c r="N719" s="1">
        <v>33</v>
      </c>
      <c r="O719" s="1" t="s">
        <v>26</v>
      </c>
      <c r="P719" s="1" t="s">
        <v>27</v>
      </c>
    </row>
    <row r="720" spans="1:16" x14ac:dyDescent="0.3">
      <c r="A720" s="1">
        <v>100674</v>
      </c>
      <c r="B720" s="2">
        <v>45493</v>
      </c>
      <c r="C720" s="1" t="s">
        <v>763</v>
      </c>
      <c r="D720" s="1" t="s">
        <v>42</v>
      </c>
      <c r="E720" s="1" t="s">
        <v>25</v>
      </c>
      <c r="F720" s="1" t="s">
        <v>1239</v>
      </c>
      <c r="G720" s="1" t="s">
        <v>18</v>
      </c>
      <c r="H720" s="1">
        <v>3</v>
      </c>
      <c r="I720" s="1">
        <f>Table1[[#This Row],[Units_Sold]]*Table1[[#This Row],[Unit_Price]]</f>
        <v>510.03</v>
      </c>
      <c r="J720" s="1">
        <v>170.01</v>
      </c>
      <c r="K720" s="1">
        <v>5</v>
      </c>
      <c r="L720" s="1">
        <v>484.53</v>
      </c>
      <c r="M720" s="1">
        <v>126.2</v>
      </c>
      <c r="N720" s="1">
        <v>34</v>
      </c>
      <c r="O720" s="1" t="s">
        <v>26</v>
      </c>
      <c r="P720" s="1" t="s">
        <v>32</v>
      </c>
    </row>
    <row r="721" spans="1:16" x14ac:dyDescent="0.3">
      <c r="A721" s="1">
        <v>100689</v>
      </c>
      <c r="B721" s="2">
        <v>45371</v>
      </c>
      <c r="C721" s="1" t="s">
        <v>764</v>
      </c>
      <c r="D721" s="1" t="s">
        <v>77</v>
      </c>
      <c r="E721" s="1" t="s">
        <v>30</v>
      </c>
      <c r="F721" s="1" t="s">
        <v>1239</v>
      </c>
      <c r="G721" s="1" t="s">
        <v>64</v>
      </c>
      <c r="H721" s="1">
        <v>1</v>
      </c>
      <c r="I721" s="1">
        <f>Table1[[#This Row],[Units_Sold]]*Table1[[#This Row],[Unit_Price]]</f>
        <v>39.29</v>
      </c>
      <c r="J721" s="1">
        <v>39.29</v>
      </c>
      <c r="K721" s="1">
        <v>20</v>
      </c>
      <c r="L721" s="1">
        <v>31.43</v>
      </c>
      <c r="M721" s="1">
        <v>10.53</v>
      </c>
      <c r="N721" s="1">
        <v>31</v>
      </c>
      <c r="O721" s="1" t="s">
        <v>19</v>
      </c>
      <c r="P721" s="1" t="s">
        <v>81</v>
      </c>
    </row>
    <row r="722" spans="1:16" x14ac:dyDescent="0.3">
      <c r="A722" s="1">
        <v>101054</v>
      </c>
      <c r="B722" s="2">
        <v>45510</v>
      </c>
      <c r="C722" s="1" t="s">
        <v>765</v>
      </c>
      <c r="D722" s="1" t="s">
        <v>53</v>
      </c>
      <c r="E722" s="1" t="s">
        <v>30</v>
      </c>
      <c r="F722" s="1" t="s">
        <v>1241</v>
      </c>
      <c r="G722" s="1" t="s">
        <v>18</v>
      </c>
      <c r="H722" s="1">
        <v>3</v>
      </c>
      <c r="I722" s="1">
        <f>Table1[[#This Row],[Units_Sold]]*Table1[[#This Row],[Unit_Price]]</f>
        <v>66.81</v>
      </c>
      <c r="J722" s="1">
        <v>22.27</v>
      </c>
      <c r="K722" s="1">
        <v>0</v>
      </c>
      <c r="L722" s="1">
        <v>66.81</v>
      </c>
      <c r="M722" s="1">
        <v>23.44</v>
      </c>
      <c r="N722" s="1">
        <v>40</v>
      </c>
      <c r="O722" s="1" t="s">
        <v>26</v>
      </c>
      <c r="P722" s="1" t="s">
        <v>35</v>
      </c>
    </row>
    <row r="723" spans="1:16" x14ac:dyDescent="0.3">
      <c r="A723" s="1">
        <v>101176</v>
      </c>
      <c r="B723" s="2">
        <v>45311</v>
      </c>
      <c r="C723" s="1" t="s">
        <v>766</v>
      </c>
      <c r="D723" s="1" t="s">
        <v>34</v>
      </c>
      <c r="E723" s="1" t="s">
        <v>30</v>
      </c>
      <c r="F723" s="1" t="s">
        <v>1238</v>
      </c>
      <c r="G723" s="1" t="s">
        <v>31</v>
      </c>
      <c r="H723" s="1">
        <v>3</v>
      </c>
      <c r="I723" s="1">
        <f>Table1[[#This Row],[Units_Sold]]*Table1[[#This Row],[Unit_Price]]</f>
        <v>181.05</v>
      </c>
      <c r="J723" s="1">
        <v>60.35</v>
      </c>
      <c r="K723" s="1">
        <v>10</v>
      </c>
      <c r="L723" s="1">
        <v>162.94999999999999</v>
      </c>
      <c r="M723" s="1">
        <v>64.819999999999993</v>
      </c>
      <c r="N723" s="1">
        <v>23</v>
      </c>
      <c r="O723" s="1" t="s">
        <v>26</v>
      </c>
      <c r="P723" s="1" t="s">
        <v>43</v>
      </c>
    </row>
    <row r="724" spans="1:16" x14ac:dyDescent="0.3">
      <c r="A724" s="1">
        <v>101032</v>
      </c>
      <c r="B724" s="2">
        <v>45706</v>
      </c>
      <c r="C724" s="1" t="s">
        <v>767</v>
      </c>
      <c r="D724" s="1" t="s">
        <v>34</v>
      </c>
      <c r="E724" s="1" t="s">
        <v>30</v>
      </c>
      <c r="F724" s="1" t="s">
        <v>1241</v>
      </c>
      <c r="G724" s="1" t="s">
        <v>31</v>
      </c>
      <c r="H724" s="1">
        <v>4</v>
      </c>
      <c r="I724" s="1">
        <f>Table1[[#This Row],[Units_Sold]]*Table1[[#This Row],[Unit_Price]]</f>
        <v>242.6</v>
      </c>
      <c r="J724" s="1">
        <v>60.65</v>
      </c>
      <c r="K724" s="1">
        <v>20</v>
      </c>
      <c r="L724" s="1">
        <v>194.08</v>
      </c>
      <c r="M724" s="1">
        <v>73.94</v>
      </c>
      <c r="N724" s="1">
        <v>34</v>
      </c>
      <c r="O724" s="1" t="s">
        <v>26</v>
      </c>
      <c r="P724" s="1" t="s">
        <v>27</v>
      </c>
    </row>
    <row r="725" spans="1:16" x14ac:dyDescent="0.3">
      <c r="A725" s="1">
        <v>101034</v>
      </c>
      <c r="B725" s="2">
        <v>45161</v>
      </c>
      <c r="C725" s="1" t="s">
        <v>768</v>
      </c>
      <c r="D725" s="1" t="s">
        <v>87</v>
      </c>
      <c r="E725" s="1" t="s">
        <v>25</v>
      </c>
      <c r="F725" s="1" t="s">
        <v>1241</v>
      </c>
      <c r="G725" s="1" t="s">
        <v>64</v>
      </c>
      <c r="H725" s="1">
        <v>2</v>
      </c>
      <c r="I725" s="1">
        <f>Table1[[#This Row],[Units_Sold]]*Table1[[#This Row],[Unit_Price]]</f>
        <v>180.24</v>
      </c>
      <c r="J725" s="1">
        <v>90.12</v>
      </c>
      <c r="K725" s="1">
        <v>10</v>
      </c>
      <c r="L725" s="1">
        <v>162.22</v>
      </c>
      <c r="M725" s="1">
        <v>43.68</v>
      </c>
      <c r="N725" s="1">
        <v>38</v>
      </c>
      <c r="O725" s="1" t="s">
        <v>19</v>
      </c>
      <c r="P725" s="1" t="s">
        <v>32</v>
      </c>
    </row>
    <row r="726" spans="1:16" x14ac:dyDescent="0.3">
      <c r="A726" s="1">
        <v>100257</v>
      </c>
      <c r="B726" s="2">
        <v>45752</v>
      </c>
      <c r="C726" s="1" t="s">
        <v>769</v>
      </c>
      <c r="D726" s="1" t="s">
        <v>42</v>
      </c>
      <c r="E726" s="1" t="s">
        <v>25</v>
      </c>
      <c r="F726" s="1" t="s">
        <v>1241</v>
      </c>
      <c r="G726" s="1" t="s">
        <v>18</v>
      </c>
      <c r="H726" s="1">
        <v>1</v>
      </c>
      <c r="I726" s="1">
        <f>Table1[[#This Row],[Units_Sold]]*Table1[[#This Row],[Unit_Price]]</f>
        <v>126.83</v>
      </c>
      <c r="J726" s="1">
        <v>126.83</v>
      </c>
      <c r="K726" s="1">
        <v>10</v>
      </c>
      <c r="L726" s="1">
        <v>114.15</v>
      </c>
      <c r="M726" s="1">
        <v>39.17</v>
      </c>
      <c r="N726" s="1">
        <v>23</v>
      </c>
      <c r="O726" s="1" t="s">
        <v>26</v>
      </c>
      <c r="P726" s="1" t="s">
        <v>20</v>
      </c>
    </row>
    <row r="727" spans="1:16" x14ac:dyDescent="0.3">
      <c r="A727" s="1">
        <v>100335</v>
      </c>
      <c r="B727" s="2">
        <v>45644</v>
      </c>
      <c r="C727" s="1" t="s">
        <v>770</v>
      </c>
      <c r="D727" s="1" t="s">
        <v>59</v>
      </c>
      <c r="E727" s="1" t="s">
        <v>17</v>
      </c>
      <c r="F727" s="1" t="s">
        <v>1237</v>
      </c>
      <c r="G727" s="1" t="s">
        <v>31</v>
      </c>
      <c r="H727" s="1">
        <v>6</v>
      </c>
      <c r="I727" s="1">
        <f>Table1[[#This Row],[Units_Sold]]*Table1[[#This Row],[Unit_Price]]</f>
        <v>145.38</v>
      </c>
      <c r="J727" s="1">
        <v>24.23</v>
      </c>
      <c r="K727" s="1">
        <v>5</v>
      </c>
      <c r="L727" s="1">
        <v>138.11000000000001</v>
      </c>
      <c r="M727" s="1">
        <v>37.799999999999997</v>
      </c>
      <c r="N727" s="1">
        <v>28</v>
      </c>
      <c r="O727" s="1" t="s">
        <v>26</v>
      </c>
      <c r="P727" s="1" t="s">
        <v>32</v>
      </c>
    </row>
    <row r="728" spans="1:16" x14ac:dyDescent="0.3">
      <c r="A728" s="1">
        <v>100015</v>
      </c>
      <c r="B728" s="2">
        <v>44986</v>
      </c>
      <c r="C728" s="1" t="s">
        <v>771</v>
      </c>
      <c r="D728" s="1" t="s">
        <v>37</v>
      </c>
      <c r="E728" s="1" t="s">
        <v>17</v>
      </c>
      <c r="F728" s="1" t="s">
        <v>1240</v>
      </c>
      <c r="G728" s="1" t="s">
        <v>18</v>
      </c>
      <c r="H728" s="1">
        <v>4</v>
      </c>
      <c r="I728" s="1">
        <f>Table1[[#This Row],[Units_Sold]]*Table1[[#This Row],[Unit_Price]]</f>
        <v>273.32</v>
      </c>
      <c r="J728" s="1">
        <v>68.33</v>
      </c>
      <c r="K728" s="1">
        <v>0</v>
      </c>
      <c r="L728" s="1">
        <v>273.32</v>
      </c>
      <c r="M728" s="1">
        <v>100.77</v>
      </c>
      <c r="N728" s="1">
        <v>25</v>
      </c>
      <c r="O728" s="1" t="s">
        <v>26</v>
      </c>
      <c r="P728" s="1" t="s">
        <v>27</v>
      </c>
    </row>
    <row r="729" spans="1:16" x14ac:dyDescent="0.3">
      <c r="A729" s="1">
        <v>100901</v>
      </c>
      <c r="B729" s="2">
        <v>45708</v>
      </c>
      <c r="C729" s="1" t="s">
        <v>772</v>
      </c>
      <c r="D729" s="1" t="s">
        <v>100</v>
      </c>
      <c r="E729" s="1" t="s">
        <v>25</v>
      </c>
      <c r="F729" s="1" t="s">
        <v>1239</v>
      </c>
      <c r="G729" s="1" t="s">
        <v>18</v>
      </c>
      <c r="H729" s="1">
        <v>1</v>
      </c>
      <c r="I729" s="1">
        <f>Table1[[#This Row],[Units_Sold]]*Table1[[#This Row],[Unit_Price]]</f>
        <v>116.18</v>
      </c>
      <c r="J729" s="1">
        <v>116.18</v>
      </c>
      <c r="K729" s="1">
        <v>0</v>
      </c>
      <c r="L729" s="1">
        <v>116.18</v>
      </c>
      <c r="M729" s="1">
        <v>34.49</v>
      </c>
      <c r="N729" s="1">
        <v>31</v>
      </c>
      <c r="O729" s="1" t="s">
        <v>26</v>
      </c>
      <c r="P729" s="1" t="s">
        <v>51</v>
      </c>
    </row>
    <row r="730" spans="1:16" x14ac:dyDescent="0.3">
      <c r="A730" s="1">
        <v>100324</v>
      </c>
      <c r="B730" s="2">
        <v>45056</v>
      </c>
      <c r="C730" s="1" t="s">
        <v>773</v>
      </c>
      <c r="D730" s="1" t="s">
        <v>22</v>
      </c>
      <c r="E730" s="1" t="s">
        <v>17</v>
      </c>
      <c r="F730" s="1" t="s">
        <v>1241</v>
      </c>
      <c r="G730" s="1" t="s">
        <v>48</v>
      </c>
      <c r="H730" s="1">
        <v>1</v>
      </c>
      <c r="I730" s="1">
        <f>Table1[[#This Row],[Units_Sold]]*Table1[[#This Row],[Unit_Price]]</f>
        <v>24.62</v>
      </c>
      <c r="J730" s="1">
        <v>24.62</v>
      </c>
      <c r="K730" s="1">
        <v>0</v>
      </c>
      <c r="L730" s="1">
        <v>24.62</v>
      </c>
      <c r="M730" s="1">
        <v>5.5</v>
      </c>
      <c r="N730" s="1">
        <v>32</v>
      </c>
      <c r="O730" s="1" t="s">
        <v>26</v>
      </c>
      <c r="P730" s="1" t="s">
        <v>32</v>
      </c>
    </row>
    <row r="731" spans="1:16" x14ac:dyDescent="0.3">
      <c r="A731" s="1">
        <v>100607</v>
      </c>
      <c r="B731" s="2">
        <v>45265</v>
      </c>
      <c r="C731" s="1" t="s">
        <v>774</v>
      </c>
      <c r="D731" s="1" t="s">
        <v>66</v>
      </c>
      <c r="E731" s="1" t="s">
        <v>17</v>
      </c>
      <c r="F731" s="1" t="s">
        <v>1238</v>
      </c>
      <c r="G731" s="1" t="s">
        <v>31</v>
      </c>
      <c r="H731" s="1">
        <v>3</v>
      </c>
      <c r="I731" s="1">
        <f>Table1[[#This Row],[Units_Sold]]*Table1[[#This Row],[Unit_Price]]</f>
        <v>387</v>
      </c>
      <c r="J731" s="1">
        <v>129</v>
      </c>
      <c r="K731" s="1">
        <v>0</v>
      </c>
      <c r="L731" s="1">
        <v>387</v>
      </c>
      <c r="M731" s="1">
        <v>112.92</v>
      </c>
      <c r="N731" s="1">
        <v>23</v>
      </c>
      <c r="O731" s="1" t="s">
        <v>26</v>
      </c>
      <c r="P731" s="1" t="s">
        <v>35</v>
      </c>
    </row>
    <row r="732" spans="1:16" x14ac:dyDescent="0.3">
      <c r="A732" s="1">
        <v>101053</v>
      </c>
      <c r="B732" s="2">
        <v>45164</v>
      </c>
      <c r="C732" s="1" t="s">
        <v>775</v>
      </c>
      <c r="D732" s="1" t="s">
        <v>34</v>
      </c>
      <c r="E732" s="1" t="s">
        <v>30</v>
      </c>
      <c r="F732" s="1" t="s">
        <v>1239</v>
      </c>
      <c r="G732" s="1" t="s">
        <v>18</v>
      </c>
      <c r="H732" s="1">
        <v>4</v>
      </c>
      <c r="I732" s="1">
        <f>Table1[[#This Row],[Units_Sold]]*Table1[[#This Row],[Unit_Price]]</f>
        <v>238.12</v>
      </c>
      <c r="J732" s="1">
        <v>59.53</v>
      </c>
      <c r="K732" s="1">
        <v>5</v>
      </c>
      <c r="L732" s="1">
        <v>226.21</v>
      </c>
      <c r="M732" s="1">
        <v>62.92</v>
      </c>
      <c r="N732" s="1">
        <v>36</v>
      </c>
      <c r="O732" s="1" t="s">
        <v>26</v>
      </c>
      <c r="P732" s="1" t="s">
        <v>35</v>
      </c>
    </row>
    <row r="733" spans="1:16" x14ac:dyDescent="0.3">
      <c r="A733" s="1">
        <v>100790</v>
      </c>
      <c r="B733" s="2">
        <v>45046</v>
      </c>
      <c r="C733" s="1" t="s">
        <v>776</v>
      </c>
      <c r="D733" s="1" t="s">
        <v>66</v>
      </c>
      <c r="E733" s="1" t="s">
        <v>17</v>
      </c>
      <c r="F733" s="1" t="s">
        <v>1241</v>
      </c>
      <c r="G733" s="1" t="s">
        <v>48</v>
      </c>
      <c r="H733" s="1">
        <v>4</v>
      </c>
      <c r="I733" s="1">
        <f>Table1[[#This Row],[Units_Sold]]*Table1[[#This Row],[Unit_Price]]</f>
        <v>551.28</v>
      </c>
      <c r="J733" s="1">
        <v>137.82</v>
      </c>
      <c r="K733" s="1">
        <v>10</v>
      </c>
      <c r="L733" s="1">
        <v>496.15</v>
      </c>
      <c r="M733" s="1">
        <v>124.58</v>
      </c>
      <c r="N733" s="1">
        <v>16</v>
      </c>
      <c r="O733" s="1" t="s">
        <v>19</v>
      </c>
      <c r="P733" s="1" t="s">
        <v>43</v>
      </c>
    </row>
    <row r="734" spans="1:16" x14ac:dyDescent="0.3">
      <c r="A734" s="1">
        <v>100222</v>
      </c>
      <c r="B734" s="2">
        <v>45583</v>
      </c>
      <c r="C734" s="1" t="s">
        <v>777</v>
      </c>
      <c r="D734" s="1" t="s">
        <v>45</v>
      </c>
      <c r="E734" s="1" t="s">
        <v>30</v>
      </c>
      <c r="F734" s="1" t="s">
        <v>1239</v>
      </c>
      <c r="G734" s="1" t="s">
        <v>18</v>
      </c>
      <c r="H734" s="1">
        <v>1</v>
      </c>
      <c r="I734" s="1">
        <f>Table1[[#This Row],[Units_Sold]]*Table1[[#This Row],[Unit_Price]]</f>
        <v>15.13</v>
      </c>
      <c r="J734" s="1">
        <v>15.13</v>
      </c>
      <c r="K734" s="1">
        <v>0</v>
      </c>
      <c r="L734" s="1">
        <v>15.13</v>
      </c>
      <c r="M734" s="1">
        <v>4.93</v>
      </c>
      <c r="N734" s="1">
        <v>28</v>
      </c>
      <c r="O734" s="1" t="s">
        <v>26</v>
      </c>
      <c r="P734" s="1" t="s">
        <v>20</v>
      </c>
    </row>
    <row r="735" spans="1:16" x14ac:dyDescent="0.3">
      <c r="A735" s="1">
        <v>100179</v>
      </c>
      <c r="B735" s="2">
        <v>45255</v>
      </c>
      <c r="C735" s="1" t="s">
        <v>778</v>
      </c>
      <c r="D735" s="1" t="s">
        <v>87</v>
      </c>
      <c r="E735" s="1" t="s">
        <v>25</v>
      </c>
      <c r="F735" s="1" t="s">
        <v>1237</v>
      </c>
      <c r="G735" s="1" t="s">
        <v>18</v>
      </c>
      <c r="H735" s="1">
        <v>3</v>
      </c>
      <c r="I735" s="1">
        <f>Table1[[#This Row],[Units_Sold]]*Table1[[#This Row],[Unit_Price]]</f>
        <v>267.93</v>
      </c>
      <c r="J735" s="1">
        <v>89.31</v>
      </c>
      <c r="K735" s="1">
        <v>10</v>
      </c>
      <c r="L735" s="1">
        <v>241.14</v>
      </c>
      <c r="M735" s="1">
        <v>71.790000000000006</v>
      </c>
      <c r="N735" s="1">
        <v>31</v>
      </c>
      <c r="O735" s="1" t="s">
        <v>19</v>
      </c>
      <c r="P735" s="1" t="s">
        <v>32</v>
      </c>
    </row>
    <row r="736" spans="1:16" x14ac:dyDescent="0.3">
      <c r="A736" s="1">
        <v>100099</v>
      </c>
      <c r="B736" s="2">
        <v>44942</v>
      </c>
      <c r="C736" s="1" t="s">
        <v>779</v>
      </c>
      <c r="D736" s="1" t="s">
        <v>68</v>
      </c>
      <c r="E736" s="1" t="s">
        <v>25</v>
      </c>
      <c r="F736" s="1" t="s">
        <v>1237</v>
      </c>
      <c r="G736" s="1" t="s">
        <v>18</v>
      </c>
      <c r="H736" s="1">
        <v>2</v>
      </c>
      <c r="I736" s="1">
        <f>Table1[[#This Row],[Units_Sold]]*Table1[[#This Row],[Unit_Price]]</f>
        <v>425.44</v>
      </c>
      <c r="J736" s="1">
        <v>212.72</v>
      </c>
      <c r="K736" s="1">
        <v>5</v>
      </c>
      <c r="L736" s="1">
        <v>404.17</v>
      </c>
      <c r="M736" s="1">
        <v>70.67</v>
      </c>
      <c r="N736" s="1">
        <v>35</v>
      </c>
      <c r="O736" s="1" t="s">
        <v>26</v>
      </c>
      <c r="P736" s="1" t="s">
        <v>20</v>
      </c>
    </row>
    <row r="737" spans="1:16" x14ac:dyDescent="0.3">
      <c r="A737" s="1">
        <v>100521</v>
      </c>
      <c r="B737" s="2">
        <v>45061</v>
      </c>
      <c r="C737" s="1" t="s">
        <v>780</v>
      </c>
      <c r="D737" s="1" t="s">
        <v>56</v>
      </c>
      <c r="E737" s="1" t="s">
        <v>30</v>
      </c>
      <c r="F737" s="1" t="s">
        <v>1241</v>
      </c>
      <c r="G737" s="1" t="s">
        <v>31</v>
      </c>
      <c r="H737" s="1">
        <v>3</v>
      </c>
      <c r="I737" s="1">
        <f>Table1[[#This Row],[Units_Sold]]*Table1[[#This Row],[Unit_Price]]</f>
        <v>128.72999999999999</v>
      </c>
      <c r="J737" s="1">
        <v>42.91</v>
      </c>
      <c r="K737" s="1">
        <v>0</v>
      </c>
      <c r="L737" s="1">
        <v>128.72999999999999</v>
      </c>
      <c r="M737" s="1">
        <v>47.84</v>
      </c>
      <c r="N737" s="1">
        <v>25</v>
      </c>
      <c r="O737" s="1" t="s">
        <v>19</v>
      </c>
      <c r="P737" s="1" t="s">
        <v>43</v>
      </c>
    </row>
    <row r="738" spans="1:16" x14ac:dyDescent="0.3">
      <c r="A738" s="1">
        <v>100022</v>
      </c>
      <c r="B738" s="2">
        <v>45672</v>
      </c>
      <c r="C738" s="1" t="s">
        <v>781</v>
      </c>
      <c r="D738" s="1" t="s">
        <v>66</v>
      </c>
      <c r="E738" s="1" t="s">
        <v>17</v>
      </c>
      <c r="F738" s="1" t="s">
        <v>1241</v>
      </c>
      <c r="G738" s="1" t="s">
        <v>18</v>
      </c>
      <c r="H738" s="1">
        <v>2</v>
      </c>
      <c r="I738" s="1">
        <f>Table1[[#This Row],[Units_Sold]]*Table1[[#This Row],[Unit_Price]]</f>
        <v>236.3</v>
      </c>
      <c r="J738" s="1">
        <v>118.15</v>
      </c>
      <c r="K738" s="1">
        <v>0</v>
      </c>
      <c r="L738" s="1">
        <v>236.3</v>
      </c>
      <c r="M738" s="1">
        <v>70.44</v>
      </c>
      <c r="N738" s="1">
        <v>39</v>
      </c>
      <c r="O738" s="1" t="s">
        <v>26</v>
      </c>
      <c r="P738" s="1" t="s">
        <v>35</v>
      </c>
    </row>
    <row r="739" spans="1:16" x14ac:dyDescent="0.3">
      <c r="A739" s="1">
        <v>100356</v>
      </c>
      <c r="B739" s="2">
        <v>45926</v>
      </c>
      <c r="C739" s="1" t="s">
        <v>782</v>
      </c>
      <c r="D739" s="1" t="s">
        <v>42</v>
      </c>
      <c r="E739" s="1" t="s">
        <v>25</v>
      </c>
      <c r="F739" s="1" t="s">
        <v>1238</v>
      </c>
      <c r="G739" s="1" t="s">
        <v>31</v>
      </c>
      <c r="H739" s="1">
        <v>2</v>
      </c>
      <c r="I739" s="1">
        <f>Table1[[#This Row],[Units_Sold]]*Table1[[#This Row],[Unit_Price]]</f>
        <v>333.98</v>
      </c>
      <c r="J739" s="1">
        <v>166.99</v>
      </c>
      <c r="K739" s="1">
        <v>0</v>
      </c>
      <c r="L739" s="1">
        <v>333.98</v>
      </c>
      <c r="M739" s="1">
        <v>100.3</v>
      </c>
      <c r="N739" s="1">
        <v>29</v>
      </c>
      <c r="O739" s="1" t="s">
        <v>26</v>
      </c>
      <c r="P739" s="1" t="s">
        <v>43</v>
      </c>
    </row>
    <row r="740" spans="1:16" x14ac:dyDescent="0.3">
      <c r="A740" s="1">
        <v>100733</v>
      </c>
      <c r="B740" s="2">
        <v>45091</v>
      </c>
      <c r="C740" s="1" t="s">
        <v>783</v>
      </c>
      <c r="D740" s="1" t="s">
        <v>56</v>
      </c>
      <c r="E740" s="1" t="s">
        <v>30</v>
      </c>
      <c r="F740" s="1" t="s">
        <v>1237</v>
      </c>
      <c r="G740" s="1" t="s">
        <v>31</v>
      </c>
      <c r="H740" s="1">
        <v>2</v>
      </c>
      <c r="I740" s="1">
        <f>Table1[[#This Row],[Units_Sold]]*Table1[[#This Row],[Unit_Price]]</f>
        <v>88.94</v>
      </c>
      <c r="J740" s="1">
        <v>44.47</v>
      </c>
      <c r="K740" s="1">
        <v>0</v>
      </c>
      <c r="L740" s="1">
        <v>88.94</v>
      </c>
      <c r="M740" s="1">
        <v>34.04</v>
      </c>
      <c r="N740" s="1">
        <v>20</v>
      </c>
      <c r="O740" s="1" t="s">
        <v>26</v>
      </c>
      <c r="P740" s="1" t="s">
        <v>81</v>
      </c>
    </row>
    <row r="741" spans="1:16" x14ac:dyDescent="0.3">
      <c r="A741" s="1">
        <v>101093</v>
      </c>
      <c r="B741" s="2">
        <v>45302</v>
      </c>
      <c r="C741" s="1" t="s">
        <v>784</v>
      </c>
      <c r="D741" s="1" t="s">
        <v>56</v>
      </c>
      <c r="E741" s="1" t="s">
        <v>30</v>
      </c>
      <c r="F741" s="1" t="s">
        <v>1240</v>
      </c>
      <c r="G741" s="1" t="s">
        <v>18</v>
      </c>
      <c r="H741" s="1">
        <v>1</v>
      </c>
      <c r="I741" s="1">
        <f>Table1[[#This Row],[Units_Sold]]*Table1[[#This Row],[Unit_Price]]</f>
        <v>47.95</v>
      </c>
      <c r="J741" s="1">
        <v>47.95</v>
      </c>
      <c r="K741" s="1">
        <v>0</v>
      </c>
      <c r="L741" s="1">
        <v>47.95</v>
      </c>
      <c r="M741" s="1">
        <v>18.079999999999998</v>
      </c>
      <c r="N741" s="1">
        <v>44</v>
      </c>
      <c r="O741" s="1" t="s">
        <v>19</v>
      </c>
      <c r="P741" s="1" t="s">
        <v>46</v>
      </c>
    </row>
    <row r="742" spans="1:16" x14ac:dyDescent="0.3">
      <c r="A742" s="1">
        <v>101111</v>
      </c>
      <c r="B742" s="2">
        <v>45610</v>
      </c>
      <c r="C742" s="1" t="s">
        <v>785</v>
      </c>
      <c r="D742" s="1" t="s">
        <v>16</v>
      </c>
      <c r="E742" s="1" t="s">
        <v>17</v>
      </c>
      <c r="F742" s="1" t="s">
        <v>1241</v>
      </c>
      <c r="G742" s="1" t="s">
        <v>31</v>
      </c>
      <c r="H742" s="1">
        <v>3</v>
      </c>
      <c r="I742" s="1">
        <f>Table1[[#This Row],[Units_Sold]]*Table1[[#This Row],[Unit_Price]]</f>
        <v>150.96</v>
      </c>
      <c r="J742" s="1">
        <v>50.32</v>
      </c>
      <c r="K742" s="1">
        <v>0</v>
      </c>
      <c r="L742" s="1">
        <v>150.96</v>
      </c>
      <c r="M742" s="1">
        <v>48.36</v>
      </c>
      <c r="N742" s="1">
        <v>31</v>
      </c>
      <c r="O742" s="1" t="s">
        <v>19</v>
      </c>
      <c r="P742" s="1" t="s">
        <v>27</v>
      </c>
    </row>
    <row r="743" spans="1:16" x14ac:dyDescent="0.3">
      <c r="A743" s="1">
        <v>100611</v>
      </c>
      <c r="B743" s="2">
        <v>45812</v>
      </c>
      <c r="C743" s="1" t="s">
        <v>786</v>
      </c>
      <c r="D743" s="1" t="s">
        <v>16</v>
      </c>
      <c r="E743" s="1" t="s">
        <v>17</v>
      </c>
      <c r="F743" s="1" t="s">
        <v>1238</v>
      </c>
      <c r="G743" s="1" t="s">
        <v>18</v>
      </c>
      <c r="H743" s="1">
        <v>3</v>
      </c>
      <c r="I743" s="1">
        <f>Table1[[#This Row],[Units_Sold]]*Table1[[#This Row],[Unit_Price]]</f>
        <v>180.48</v>
      </c>
      <c r="J743" s="1">
        <v>60.16</v>
      </c>
      <c r="K743" s="1">
        <v>0</v>
      </c>
      <c r="L743" s="1">
        <v>180.48</v>
      </c>
      <c r="M743" s="1">
        <v>42.3</v>
      </c>
      <c r="N743" s="1">
        <v>32</v>
      </c>
      <c r="O743" s="1" t="s">
        <v>26</v>
      </c>
      <c r="P743" s="1" t="s">
        <v>46</v>
      </c>
    </row>
    <row r="744" spans="1:16" x14ac:dyDescent="0.3">
      <c r="A744" s="1">
        <v>101009</v>
      </c>
      <c r="B744" s="2">
        <v>44994</v>
      </c>
      <c r="C744" s="1" t="s">
        <v>787</v>
      </c>
      <c r="D744" s="1" t="s">
        <v>66</v>
      </c>
      <c r="E744" s="1" t="s">
        <v>17</v>
      </c>
      <c r="F744" s="1" t="s">
        <v>1238</v>
      </c>
      <c r="G744" s="1" t="s">
        <v>18</v>
      </c>
      <c r="H744" s="1">
        <v>2</v>
      </c>
      <c r="I744" s="1">
        <f>Table1[[#This Row],[Units_Sold]]*Table1[[#This Row],[Unit_Price]]</f>
        <v>198.18</v>
      </c>
      <c r="J744" s="1">
        <v>99.09</v>
      </c>
      <c r="K744" s="1">
        <v>0</v>
      </c>
      <c r="L744" s="1">
        <v>198.18</v>
      </c>
      <c r="M744" s="1">
        <v>56.71</v>
      </c>
      <c r="N744" s="1">
        <v>31</v>
      </c>
      <c r="O744" s="1" t="s">
        <v>26</v>
      </c>
      <c r="P744" s="1" t="s">
        <v>51</v>
      </c>
    </row>
    <row r="745" spans="1:16" x14ac:dyDescent="0.3">
      <c r="A745" s="1">
        <v>100340</v>
      </c>
      <c r="B745" s="2">
        <v>45078</v>
      </c>
      <c r="C745" s="1" t="s">
        <v>788</v>
      </c>
      <c r="D745" s="1" t="s">
        <v>24</v>
      </c>
      <c r="E745" s="1" t="s">
        <v>25</v>
      </c>
      <c r="F745" s="1" t="s">
        <v>1240</v>
      </c>
      <c r="G745" s="1" t="s">
        <v>18</v>
      </c>
      <c r="H745" s="1">
        <v>1</v>
      </c>
      <c r="I745" s="1">
        <f>Table1[[#This Row],[Units_Sold]]*Table1[[#This Row],[Unit_Price]]</f>
        <v>96.62</v>
      </c>
      <c r="J745" s="1">
        <v>96.62</v>
      </c>
      <c r="K745" s="1">
        <v>0</v>
      </c>
      <c r="L745" s="1">
        <v>96.62</v>
      </c>
      <c r="M745" s="1">
        <v>25.35</v>
      </c>
      <c r="N745" s="1">
        <v>30</v>
      </c>
      <c r="O745" s="1" t="s">
        <v>26</v>
      </c>
      <c r="P745" s="1" t="s">
        <v>20</v>
      </c>
    </row>
    <row r="746" spans="1:16" x14ac:dyDescent="0.3">
      <c r="A746" s="1">
        <v>100431</v>
      </c>
      <c r="B746" s="2">
        <v>45913</v>
      </c>
      <c r="C746" s="1" t="s">
        <v>789</v>
      </c>
      <c r="D746" s="1" t="s">
        <v>53</v>
      </c>
      <c r="E746" s="1" t="s">
        <v>30</v>
      </c>
      <c r="F746" s="1" t="s">
        <v>1237</v>
      </c>
      <c r="G746" s="1" t="s">
        <v>31</v>
      </c>
      <c r="H746" s="1">
        <v>3</v>
      </c>
      <c r="I746" s="1">
        <f>Table1[[#This Row],[Units_Sold]]*Table1[[#This Row],[Unit_Price]]</f>
        <v>60.81</v>
      </c>
      <c r="J746" s="1">
        <v>20.27</v>
      </c>
      <c r="K746" s="1">
        <v>10</v>
      </c>
      <c r="L746" s="1">
        <v>54.73</v>
      </c>
      <c r="M746" s="1">
        <v>23.65</v>
      </c>
      <c r="N746" s="1">
        <v>16</v>
      </c>
      <c r="O746" s="1" t="s">
        <v>26</v>
      </c>
      <c r="P746" s="1" t="s">
        <v>46</v>
      </c>
    </row>
    <row r="747" spans="1:16" x14ac:dyDescent="0.3">
      <c r="A747" s="1">
        <v>100961</v>
      </c>
      <c r="B747" s="2">
        <v>45635</v>
      </c>
      <c r="C747" s="1" t="s">
        <v>790</v>
      </c>
      <c r="D747" s="1" t="s">
        <v>16</v>
      </c>
      <c r="E747" s="1" t="s">
        <v>17</v>
      </c>
      <c r="F747" s="1" t="s">
        <v>1238</v>
      </c>
      <c r="G747" s="1" t="s">
        <v>48</v>
      </c>
      <c r="H747" s="1">
        <v>1</v>
      </c>
      <c r="I747" s="1">
        <f>Table1[[#This Row],[Units_Sold]]*Table1[[#This Row],[Unit_Price]]</f>
        <v>54.94</v>
      </c>
      <c r="J747" s="1">
        <v>54.94</v>
      </c>
      <c r="K747" s="1">
        <v>0</v>
      </c>
      <c r="L747" s="1">
        <v>54.94</v>
      </c>
      <c r="M747" s="1">
        <v>17.32</v>
      </c>
      <c r="N747" s="1">
        <v>35</v>
      </c>
      <c r="O747" s="1" t="s">
        <v>19</v>
      </c>
      <c r="P747" s="1" t="s">
        <v>32</v>
      </c>
    </row>
    <row r="748" spans="1:16" x14ac:dyDescent="0.3">
      <c r="A748" s="1">
        <v>100217</v>
      </c>
      <c r="B748" s="2">
        <v>45038</v>
      </c>
      <c r="C748" s="1" t="s">
        <v>791</v>
      </c>
      <c r="D748" s="1" t="s">
        <v>100</v>
      </c>
      <c r="E748" s="1" t="s">
        <v>25</v>
      </c>
      <c r="F748" s="1" t="s">
        <v>1241</v>
      </c>
      <c r="G748" s="1" t="s">
        <v>18</v>
      </c>
      <c r="H748" s="1">
        <v>2</v>
      </c>
      <c r="I748" s="1">
        <f>Table1[[#This Row],[Units_Sold]]*Table1[[#This Row],[Unit_Price]]</f>
        <v>260.32</v>
      </c>
      <c r="J748" s="1">
        <v>130.16</v>
      </c>
      <c r="K748" s="1">
        <v>0</v>
      </c>
      <c r="L748" s="1">
        <v>260.32</v>
      </c>
      <c r="M748" s="1">
        <v>98.85</v>
      </c>
      <c r="N748" s="1">
        <v>23</v>
      </c>
      <c r="O748" s="1" t="s">
        <v>19</v>
      </c>
      <c r="P748" s="1" t="s">
        <v>51</v>
      </c>
    </row>
    <row r="749" spans="1:16" x14ac:dyDescent="0.3">
      <c r="A749" s="1">
        <v>100203</v>
      </c>
      <c r="B749" s="2">
        <v>45002</v>
      </c>
      <c r="C749" s="1" t="s">
        <v>792</v>
      </c>
      <c r="D749" s="1" t="s">
        <v>62</v>
      </c>
      <c r="E749" s="1" t="s">
        <v>17</v>
      </c>
      <c r="F749" s="1" t="s">
        <v>1237</v>
      </c>
      <c r="G749" s="1" t="s">
        <v>18</v>
      </c>
      <c r="H749" s="1">
        <v>3</v>
      </c>
      <c r="I749" s="1">
        <f>Table1[[#This Row],[Units_Sold]]*Table1[[#This Row],[Unit_Price]]</f>
        <v>431.64</v>
      </c>
      <c r="J749" s="1">
        <v>143.88</v>
      </c>
      <c r="K749" s="1">
        <v>0</v>
      </c>
      <c r="L749" s="1">
        <v>431.64</v>
      </c>
      <c r="M749" s="1">
        <v>66.599999999999994</v>
      </c>
      <c r="N749" s="1">
        <v>32</v>
      </c>
      <c r="O749" s="1" t="s">
        <v>122</v>
      </c>
      <c r="P749" s="1" t="s">
        <v>27</v>
      </c>
    </row>
    <row r="750" spans="1:16" x14ac:dyDescent="0.3">
      <c r="A750" s="1">
        <v>100905</v>
      </c>
      <c r="B750" s="2">
        <v>45151</v>
      </c>
      <c r="C750" s="1" t="s">
        <v>793</v>
      </c>
      <c r="D750" s="1" t="s">
        <v>73</v>
      </c>
      <c r="E750" s="1" t="s">
        <v>25</v>
      </c>
      <c r="F750" s="1" t="s">
        <v>1241</v>
      </c>
      <c r="G750" s="1" t="s">
        <v>18</v>
      </c>
      <c r="H750" s="1">
        <v>2</v>
      </c>
      <c r="I750" s="1">
        <f>Table1[[#This Row],[Units_Sold]]*Table1[[#This Row],[Unit_Price]]</f>
        <v>66.34</v>
      </c>
      <c r="J750" s="1">
        <v>33.17</v>
      </c>
      <c r="K750" s="1">
        <v>5</v>
      </c>
      <c r="L750" s="1">
        <v>63.02</v>
      </c>
      <c r="M750" s="1">
        <v>21.07</v>
      </c>
      <c r="N750" s="1">
        <v>28</v>
      </c>
      <c r="O750" s="1" t="s">
        <v>26</v>
      </c>
      <c r="P750" s="1" t="s">
        <v>32</v>
      </c>
    </row>
    <row r="751" spans="1:16" x14ac:dyDescent="0.3">
      <c r="A751" s="1">
        <v>100922</v>
      </c>
      <c r="B751" s="2">
        <v>45528</v>
      </c>
      <c r="C751" s="1" t="s">
        <v>794</v>
      </c>
      <c r="D751" s="1" t="s">
        <v>73</v>
      </c>
      <c r="E751" s="1" t="s">
        <v>25</v>
      </c>
      <c r="F751" s="1" t="s">
        <v>1237</v>
      </c>
      <c r="G751" s="1" t="s">
        <v>18</v>
      </c>
      <c r="H751" s="1">
        <v>4</v>
      </c>
      <c r="I751" s="1">
        <f>Table1[[#This Row],[Units_Sold]]*Table1[[#This Row],[Unit_Price]]</f>
        <v>155.12</v>
      </c>
      <c r="J751" s="1">
        <v>38.78</v>
      </c>
      <c r="K751" s="1">
        <v>0</v>
      </c>
      <c r="L751" s="1">
        <v>155.12</v>
      </c>
      <c r="M751" s="1">
        <v>56.56</v>
      </c>
      <c r="N751" s="1">
        <v>43</v>
      </c>
      <c r="O751" s="1" t="s">
        <v>26</v>
      </c>
      <c r="P751" s="1" t="s">
        <v>35</v>
      </c>
    </row>
    <row r="752" spans="1:16" x14ac:dyDescent="0.3">
      <c r="A752" s="1">
        <v>100093</v>
      </c>
      <c r="B752" s="2">
        <v>45157</v>
      </c>
      <c r="C752" s="1" t="s">
        <v>795</v>
      </c>
      <c r="D752" s="1" t="s">
        <v>87</v>
      </c>
      <c r="E752" s="1" t="s">
        <v>25</v>
      </c>
      <c r="F752" s="1" t="s">
        <v>1241</v>
      </c>
      <c r="G752" s="1" t="s">
        <v>48</v>
      </c>
      <c r="H752" s="1">
        <v>2</v>
      </c>
      <c r="I752" s="1">
        <f>Table1[[#This Row],[Units_Sold]]*Table1[[#This Row],[Unit_Price]]</f>
        <v>136.58000000000001</v>
      </c>
      <c r="J752" s="1">
        <v>68.290000000000006</v>
      </c>
      <c r="K752" s="1">
        <v>5</v>
      </c>
      <c r="L752" s="1">
        <v>129.75</v>
      </c>
      <c r="M752" s="1">
        <v>37.71</v>
      </c>
      <c r="N752" s="1">
        <v>29</v>
      </c>
      <c r="O752" s="1" t="s">
        <v>26</v>
      </c>
      <c r="P752" s="1" t="s">
        <v>20</v>
      </c>
    </row>
    <row r="753" spans="1:16" x14ac:dyDescent="0.3">
      <c r="A753" s="1">
        <v>100910</v>
      </c>
      <c r="B753" s="2">
        <v>45618</v>
      </c>
      <c r="C753" s="1" t="s">
        <v>796</v>
      </c>
      <c r="D753" s="1" t="s">
        <v>66</v>
      </c>
      <c r="E753" s="1" t="s">
        <v>17</v>
      </c>
      <c r="F753" s="1" t="s">
        <v>1237</v>
      </c>
      <c r="G753" s="1" t="s">
        <v>31</v>
      </c>
      <c r="H753" s="1">
        <v>4</v>
      </c>
      <c r="I753" s="1">
        <f>Table1[[#This Row],[Units_Sold]]*Table1[[#This Row],[Unit_Price]]</f>
        <v>427.56</v>
      </c>
      <c r="J753" s="1">
        <v>106.89</v>
      </c>
      <c r="K753" s="1">
        <v>40</v>
      </c>
      <c r="L753" s="1">
        <v>256.54000000000002</v>
      </c>
      <c r="M753" s="1">
        <v>60.89</v>
      </c>
      <c r="N753" s="1">
        <v>25</v>
      </c>
      <c r="O753" s="1" t="s">
        <v>19</v>
      </c>
      <c r="P753" s="1" t="s">
        <v>51</v>
      </c>
    </row>
    <row r="754" spans="1:16" x14ac:dyDescent="0.3">
      <c r="A754" s="1">
        <v>100068</v>
      </c>
      <c r="B754" s="2">
        <v>45403</v>
      </c>
      <c r="C754" s="1" t="s">
        <v>797</v>
      </c>
      <c r="D754" s="1" t="s">
        <v>34</v>
      </c>
      <c r="E754" s="1" t="s">
        <v>30</v>
      </c>
      <c r="F754" s="1" t="s">
        <v>1237</v>
      </c>
      <c r="G754" s="1" t="s">
        <v>18</v>
      </c>
      <c r="H754" s="1">
        <v>2</v>
      </c>
      <c r="I754" s="1">
        <f>Table1[[#This Row],[Units_Sold]]*Table1[[#This Row],[Unit_Price]]</f>
        <v>124.72</v>
      </c>
      <c r="J754" s="1">
        <v>62.36</v>
      </c>
      <c r="K754" s="1">
        <v>0</v>
      </c>
      <c r="L754" s="1">
        <v>124.72</v>
      </c>
      <c r="M754" s="1">
        <v>41.93</v>
      </c>
      <c r="N754" s="1">
        <v>27</v>
      </c>
      <c r="O754" s="1" t="s">
        <v>26</v>
      </c>
      <c r="P754" s="1" t="s">
        <v>27</v>
      </c>
    </row>
    <row r="755" spans="1:16" x14ac:dyDescent="0.3">
      <c r="A755" s="1">
        <v>100894</v>
      </c>
      <c r="B755" s="2">
        <v>45404</v>
      </c>
      <c r="C755" s="1" t="s">
        <v>798</v>
      </c>
      <c r="D755" s="1" t="s">
        <v>100</v>
      </c>
      <c r="E755" s="1" t="s">
        <v>25</v>
      </c>
      <c r="F755" s="1" t="s">
        <v>1238</v>
      </c>
      <c r="G755" s="1" t="s">
        <v>31</v>
      </c>
      <c r="H755" s="1">
        <v>4</v>
      </c>
      <c r="I755" s="1">
        <f>Table1[[#This Row],[Units_Sold]]*Table1[[#This Row],[Unit_Price]]</f>
        <v>474.44</v>
      </c>
      <c r="J755" s="1">
        <v>118.61</v>
      </c>
      <c r="K755" s="1">
        <v>20</v>
      </c>
      <c r="L755" s="1">
        <v>379.55</v>
      </c>
      <c r="M755" s="1">
        <v>53.58</v>
      </c>
      <c r="N755" s="1">
        <v>52</v>
      </c>
      <c r="O755" s="1" t="s">
        <v>19</v>
      </c>
      <c r="P755" s="1" t="s">
        <v>32</v>
      </c>
    </row>
    <row r="756" spans="1:16" x14ac:dyDescent="0.3">
      <c r="A756" s="1">
        <v>100284</v>
      </c>
      <c r="B756" s="2">
        <v>45393</v>
      </c>
      <c r="C756" s="1" t="s">
        <v>799</v>
      </c>
      <c r="D756" s="1" t="s">
        <v>73</v>
      </c>
      <c r="E756" s="1" t="s">
        <v>25</v>
      </c>
      <c r="F756" s="1" t="s">
        <v>1238</v>
      </c>
      <c r="G756" s="1" t="s">
        <v>18</v>
      </c>
      <c r="H756" s="1">
        <v>4</v>
      </c>
      <c r="I756" s="1">
        <f>Table1[[#This Row],[Units_Sold]]*Table1[[#This Row],[Unit_Price]]</f>
        <v>133.68</v>
      </c>
      <c r="J756" s="1">
        <v>33.42</v>
      </c>
      <c r="K756" s="1">
        <v>0</v>
      </c>
      <c r="L756" s="1">
        <v>133.68</v>
      </c>
      <c r="M756" s="1">
        <v>41.34</v>
      </c>
      <c r="N756" s="1">
        <v>38</v>
      </c>
      <c r="O756" s="1" t="s">
        <v>19</v>
      </c>
      <c r="P756" s="1" t="s">
        <v>46</v>
      </c>
    </row>
    <row r="757" spans="1:16" x14ac:dyDescent="0.3">
      <c r="A757" s="1">
        <v>100696</v>
      </c>
      <c r="B757" s="2">
        <v>45560</v>
      </c>
      <c r="C757" s="1" t="s">
        <v>800</v>
      </c>
      <c r="D757" s="1" t="s">
        <v>70</v>
      </c>
      <c r="E757" s="1" t="s">
        <v>25</v>
      </c>
      <c r="F757" s="1" t="s">
        <v>1241</v>
      </c>
      <c r="G757" s="1" t="s">
        <v>31</v>
      </c>
      <c r="H757" s="1">
        <v>5</v>
      </c>
      <c r="I757" s="1">
        <f>Table1[[#This Row],[Units_Sold]]*Table1[[#This Row],[Unit_Price]]</f>
        <v>803.8</v>
      </c>
      <c r="J757" s="1">
        <v>160.76</v>
      </c>
      <c r="K757" s="1">
        <v>5</v>
      </c>
      <c r="L757" s="1">
        <v>763.61</v>
      </c>
      <c r="M757" s="1">
        <v>165.24</v>
      </c>
      <c r="N757" s="1">
        <v>27</v>
      </c>
      <c r="O757" s="1" t="s">
        <v>26</v>
      </c>
      <c r="P757" s="1" t="s">
        <v>51</v>
      </c>
    </row>
    <row r="758" spans="1:16" x14ac:dyDescent="0.3">
      <c r="A758" s="1">
        <v>100085</v>
      </c>
      <c r="B758" s="2">
        <v>45892</v>
      </c>
      <c r="C758" s="1" t="s">
        <v>801</v>
      </c>
      <c r="D758" s="1" t="s">
        <v>22</v>
      </c>
      <c r="E758" s="1" t="s">
        <v>17</v>
      </c>
      <c r="F758" s="1" t="s">
        <v>1238</v>
      </c>
      <c r="G758" s="1" t="s">
        <v>18</v>
      </c>
      <c r="H758" s="1">
        <v>1</v>
      </c>
      <c r="I758" s="1">
        <f>Table1[[#This Row],[Units_Sold]]*Table1[[#This Row],[Unit_Price]]</f>
        <v>24.85</v>
      </c>
      <c r="J758" s="1">
        <v>24.85</v>
      </c>
      <c r="K758" s="1">
        <v>0</v>
      </c>
      <c r="L758" s="1">
        <v>24.85</v>
      </c>
      <c r="M758" s="1">
        <v>7.5</v>
      </c>
      <c r="N758" s="1">
        <v>22</v>
      </c>
      <c r="O758" s="1" t="s">
        <v>26</v>
      </c>
      <c r="P758" s="1" t="s">
        <v>32</v>
      </c>
    </row>
    <row r="759" spans="1:16" x14ac:dyDescent="0.3">
      <c r="A759" s="1">
        <v>100434</v>
      </c>
      <c r="B759" s="2">
        <v>45068</v>
      </c>
      <c r="C759" s="1" t="s">
        <v>802</v>
      </c>
      <c r="D759" s="1" t="s">
        <v>34</v>
      </c>
      <c r="E759" s="1" t="s">
        <v>30</v>
      </c>
      <c r="F759" s="1" t="s">
        <v>1239</v>
      </c>
      <c r="G759" s="1" t="s">
        <v>31</v>
      </c>
      <c r="H759" s="1">
        <v>2</v>
      </c>
      <c r="I759" s="1">
        <f>Table1[[#This Row],[Units_Sold]]*Table1[[#This Row],[Unit_Price]]</f>
        <v>130.1</v>
      </c>
      <c r="J759" s="1">
        <v>65.05</v>
      </c>
      <c r="K759" s="1">
        <v>0</v>
      </c>
      <c r="L759" s="1">
        <v>130.1</v>
      </c>
      <c r="M759" s="1">
        <v>33.840000000000003</v>
      </c>
      <c r="N759" s="1">
        <v>45</v>
      </c>
      <c r="O759" s="1" t="s">
        <v>19</v>
      </c>
      <c r="P759" s="1" t="s">
        <v>43</v>
      </c>
    </row>
    <row r="760" spans="1:16" x14ac:dyDescent="0.3">
      <c r="A760" s="1">
        <v>100796</v>
      </c>
      <c r="B760" s="2">
        <v>45353</v>
      </c>
      <c r="C760" s="1" t="s">
        <v>803</v>
      </c>
      <c r="D760" s="1" t="s">
        <v>24</v>
      </c>
      <c r="E760" s="1" t="s">
        <v>25</v>
      </c>
      <c r="F760" s="1" t="s">
        <v>1238</v>
      </c>
      <c r="G760" s="1" t="s">
        <v>18</v>
      </c>
      <c r="H760" s="1">
        <v>3</v>
      </c>
      <c r="I760" s="1">
        <f>Table1[[#This Row],[Units_Sold]]*Table1[[#This Row],[Unit_Price]]</f>
        <v>296.25</v>
      </c>
      <c r="J760" s="1">
        <v>98.75</v>
      </c>
      <c r="K760" s="1">
        <v>20</v>
      </c>
      <c r="L760" s="1">
        <v>237</v>
      </c>
      <c r="M760" s="1">
        <v>70.42</v>
      </c>
      <c r="N760" s="1">
        <v>38</v>
      </c>
      <c r="O760" s="1" t="s">
        <v>26</v>
      </c>
      <c r="P760" s="1" t="s">
        <v>20</v>
      </c>
    </row>
    <row r="761" spans="1:16" x14ac:dyDescent="0.3">
      <c r="A761" s="1">
        <v>100153</v>
      </c>
      <c r="B761" s="2">
        <v>45323</v>
      </c>
      <c r="C761" s="1" t="s">
        <v>804</v>
      </c>
      <c r="D761" s="1" t="s">
        <v>34</v>
      </c>
      <c r="E761" s="1" t="s">
        <v>30</v>
      </c>
      <c r="F761" s="1" t="s">
        <v>1237</v>
      </c>
      <c r="G761" s="1" t="s">
        <v>18</v>
      </c>
      <c r="H761" s="1">
        <v>5</v>
      </c>
      <c r="I761" s="1">
        <f>Table1[[#This Row],[Units_Sold]]*Table1[[#This Row],[Unit_Price]]</f>
        <v>253.70000000000002</v>
      </c>
      <c r="J761" s="1">
        <v>50.74</v>
      </c>
      <c r="K761" s="1">
        <v>0</v>
      </c>
      <c r="L761" s="1">
        <v>253.7</v>
      </c>
      <c r="M761" s="1">
        <v>85.18</v>
      </c>
      <c r="N761" s="1">
        <v>38</v>
      </c>
      <c r="O761" s="1" t="s">
        <v>19</v>
      </c>
      <c r="P761" s="1" t="s">
        <v>43</v>
      </c>
    </row>
    <row r="762" spans="1:16" x14ac:dyDescent="0.3">
      <c r="A762" s="1">
        <v>100075</v>
      </c>
      <c r="B762" s="2">
        <v>45029</v>
      </c>
      <c r="C762" s="1" t="s">
        <v>805</v>
      </c>
      <c r="D762" s="1" t="s">
        <v>73</v>
      </c>
      <c r="E762" s="1" t="s">
        <v>25</v>
      </c>
      <c r="F762" s="1" t="s">
        <v>1238</v>
      </c>
      <c r="G762" s="1" t="s">
        <v>18</v>
      </c>
      <c r="H762" s="1">
        <v>3</v>
      </c>
      <c r="I762" s="1">
        <f>Table1[[#This Row],[Units_Sold]]*Table1[[#This Row],[Unit_Price]]</f>
        <v>120.39000000000001</v>
      </c>
      <c r="J762" s="1">
        <v>40.130000000000003</v>
      </c>
      <c r="K762" s="1">
        <v>5</v>
      </c>
      <c r="L762" s="1">
        <v>114.37</v>
      </c>
      <c r="M762" s="1">
        <v>33.89</v>
      </c>
      <c r="N762" s="1">
        <v>27</v>
      </c>
      <c r="O762" s="1" t="s">
        <v>19</v>
      </c>
      <c r="P762" s="1" t="s">
        <v>35</v>
      </c>
    </row>
    <row r="763" spans="1:16" x14ac:dyDescent="0.3">
      <c r="A763" s="1">
        <v>101042</v>
      </c>
      <c r="B763" s="2">
        <v>44971</v>
      </c>
      <c r="C763" s="1" t="s">
        <v>806</v>
      </c>
      <c r="D763" s="1" t="s">
        <v>68</v>
      </c>
      <c r="E763" s="1" t="s">
        <v>25</v>
      </c>
      <c r="F763" s="1" t="s">
        <v>1237</v>
      </c>
      <c r="G763" s="1" t="s">
        <v>18</v>
      </c>
      <c r="H763" s="1">
        <v>1</v>
      </c>
      <c r="I763" s="1">
        <f>Table1[[#This Row],[Units_Sold]]*Table1[[#This Row],[Unit_Price]]</f>
        <v>224.81</v>
      </c>
      <c r="J763" s="1">
        <v>224.81</v>
      </c>
      <c r="K763" s="1">
        <v>20</v>
      </c>
      <c r="L763" s="1">
        <v>179.85</v>
      </c>
      <c r="M763" s="1">
        <v>44.98</v>
      </c>
      <c r="N763" s="1">
        <v>20</v>
      </c>
      <c r="O763" s="1" t="s">
        <v>19</v>
      </c>
      <c r="P763" s="1" t="s">
        <v>43</v>
      </c>
    </row>
    <row r="764" spans="1:16" x14ac:dyDescent="0.3">
      <c r="A764" s="1">
        <v>100580</v>
      </c>
      <c r="B764" s="2">
        <v>45786</v>
      </c>
      <c r="C764" s="1" t="s">
        <v>807</v>
      </c>
      <c r="D764" s="1" t="s">
        <v>68</v>
      </c>
      <c r="E764" s="1" t="s">
        <v>25</v>
      </c>
      <c r="F764" s="1" t="s">
        <v>1237</v>
      </c>
      <c r="G764" s="1" t="s">
        <v>48</v>
      </c>
      <c r="H764" s="1">
        <v>2</v>
      </c>
      <c r="I764" s="1">
        <f>Table1[[#This Row],[Units_Sold]]*Table1[[#This Row],[Unit_Price]]</f>
        <v>492.66</v>
      </c>
      <c r="J764" s="1">
        <v>246.33</v>
      </c>
      <c r="K764" s="1">
        <v>0</v>
      </c>
      <c r="L764" s="1">
        <v>492.66</v>
      </c>
      <c r="M764" s="1">
        <v>136.07</v>
      </c>
      <c r="N764" s="1">
        <v>23</v>
      </c>
      <c r="O764" s="1" t="s">
        <v>26</v>
      </c>
      <c r="P764" s="1" t="s">
        <v>32</v>
      </c>
    </row>
    <row r="765" spans="1:16" x14ac:dyDescent="0.3">
      <c r="A765" s="1">
        <v>100446</v>
      </c>
      <c r="B765" s="2">
        <v>45021</v>
      </c>
      <c r="C765" s="1" t="s">
        <v>808</v>
      </c>
      <c r="D765" s="1" t="s">
        <v>59</v>
      </c>
      <c r="E765" s="1" t="s">
        <v>17</v>
      </c>
      <c r="F765" s="1" t="s">
        <v>1241</v>
      </c>
      <c r="G765" s="1" t="s">
        <v>18</v>
      </c>
      <c r="H765" s="1">
        <v>2</v>
      </c>
      <c r="I765" s="1">
        <f>Table1[[#This Row],[Units_Sold]]*Table1[[#This Row],[Unit_Price]]</f>
        <v>58.58</v>
      </c>
      <c r="J765" s="1">
        <v>29.29</v>
      </c>
      <c r="K765" s="1">
        <v>20</v>
      </c>
      <c r="L765" s="1">
        <v>46.86</v>
      </c>
      <c r="M765" s="1">
        <v>11.64</v>
      </c>
      <c r="N765" s="1">
        <v>19</v>
      </c>
      <c r="O765" s="1" t="s">
        <v>26</v>
      </c>
      <c r="P765" s="1" t="s">
        <v>51</v>
      </c>
    </row>
    <row r="766" spans="1:16" x14ac:dyDescent="0.3">
      <c r="A766" s="1">
        <v>100703</v>
      </c>
      <c r="B766" s="2">
        <v>45348</v>
      </c>
      <c r="C766" s="1" t="s">
        <v>809</v>
      </c>
      <c r="D766" s="1" t="s">
        <v>77</v>
      </c>
      <c r="E766" s="1" t="s">
        <v>30</v>
      </c>
      <c r="F766" s="1" t="s">
        <v>1237</v>
      </c>
      <c r="G766" s="1" t="s">
        <v>18</v>
      </c>
      <c r="H766" s="1">
        <v>4</v>
      </c>
      <c r="I766" s="1">
        <f>Table1[[#This Row],[Units_Sold]]*Table1[[#This Row],[Unit_Price]]</f>
        <v>153.4</v>
      </c>
      <c r="J766" s="1">
        <v>38.35</v>
      </c>
      <c r="K766" s="1">
        <v>5</v>
      </c>
      <c r="L766" s="1">
        <v>145.72999999999999</v>
      </c>
      <c r="M766" s="1">
        <v>37.24</v>
      </c>
      <c r="N766" s="1">
        <v>23</v>
      </c>
      <c r="O766" s="1" t="s">
        <v>19</v>
      </c>
      <c r="P766" s="1" t="s">
        <v>46</v>
      </c>
    </row>
    <row r="767" spans="1:16" x14ac:dyDescent="0.3">
      <c r="A767" s="1">
        <v>100188</v>
      </c>
      <c r="B767" s="2">
        <v>45051</v>
      </c>
      <c r="C767" s="1" t="s">
        <v>33</v>
      </c>
      <c r="D767" s="1" t="s">
        <v>73</v>
      </c>
      <c r="E767" s="1" t="s">
        <v>25</v>
      </c>
      <c r="F767" s="1" t="s">
        <v>1241</v>
      </c>
      <c r="G767" s="1" t="s">
        <v>31</v>
      </c>
      <c r="H767" s="1">
        <v>1</v>
      </c>
      <c r="I767" s="1">
        <f>Table1[[#This Row],[Units_Sold]]*Table1[[#This Row],[Unit_Price]]</f>
        <v>36.47</v>
      </c>
      <c r="J767" s="1">
        <v>36.47</v>
      </c>
      <c r="K767" s="1">
        <v>0</v>
      </c>
      <c r="L767" s="1">
        <v>36.47</v>
      </c>
      <c r="M767" s="1">
        <v>14.19</v>
      </c>
      <c r="N767" s="1">
        <v>31</v>
      </c>
      <c r="O767" s="1" t="s">
        <v>26</v>
      </c>
      <c r="P767" s="1" t="s">
        <v>43</v>
      </c>
    </row>
    <row r="768" spans="1:16" x14ac:dyDescent="0.3">
      <c r="A768" s="1">
        <v>100271</v>
      </c>
      <c r="B768" s="2">
        <v>45628</v>
      </c>
      <c r="C768" s="1" t="s">
        <v>810</v>
      </c>
      <c r="D768" s="1" t="s">
        <v>62</v>
      </c>
      <c r="E768" s="1" t="s">
        <v>17</v>
      </c>
      <c r="F768" s="1" t="s">
        <v>1241</v>
      </c>
      <c r="G768" s="1" t="s">
        <v>18</v>
      </c>
      <c r="H768" s="1">
        <v>4</v>
      </c>
      <c r="I768" s="1">
        <f>Table1[[#This Row],[Units_Sold]]*Table1[[#This Row],[Unit_Price]]</f>
        <v>547.6</v>
      </c>
      <c r="J768" s="1">
        <v>136.9</v>
      </c>
      <c r="K768" s="1">
        <v>20</v>
      </c>
      <c r="L768" s="1">
        <v>438.08</v>
      </c>
      <c r="M768" s="1">
        <v>118.27</v>
      </c>
      <c r="N768" s="1">
        <v>32</v>
      </c>
      <c r="O768" s="1" t="s">
        <v>26</v>
      </c>
      <c r="P768" s="1" t="s">
        <v>35</v>
      </c>
    </row>
    <row r="769" spans="1:16" x14ac:dyDescent="0.3">
      <c r="A769" s="1">
        <v>100236</v>
      </c>
      <c r="B769" s="2">
        <v>45109</v>
      </c>
      <c r="C769" s="1" t="s">
        <v>811</v>
      </c>
      <c r="D769" s="1" t="s">
        <v>45</v>
      </c>
      <c r="E769" s="1" t="s">
        <v>30</v>
      </c>
      <c r="F769" s="1" t="s">
        <v>1241</v>
      </c>
      <c r="G769" s="1" t="s">
        <v>64</v>
      </c>
      <c r="H769" s="1">
        <v>1</v>
      </c>
      <c r="I769" s="1">
        <f>Table1[[#This Row],[Units_Sold]]*Table1[[#This Row],[Unit_Price]]</f>
        <v>13.05</v>
      </c>
      <c r="J769" s="1">
        <v>13.05</v>
      </c>
      <c r="K769" s="1">
        <v>5</v>
      </c>
      <c r="L769" s="1">
        <v>12.4</v>
      </c>
      <c r="M769" s="1">
        <v>4.58</v>
      </c>
      <c r="N769" s="1">
        <v>25</v>
      </c>
      <c r="O769" s="1" t="s">
        <v>19</v>
      </c>
      <c r="P769" s="1" t="s">
        <v>81</v>
      </c>
    </row>
    <row r="770" spans="1:16" x14ac:dyDescent="0.3">
      <c r="A770" s="1">
        <v>100487</v>
      </c>
      <c r="B770" s="2">
        <v>45518</v>
      </c>
      <c r="C770" s="1" t="s">
        <v>812</v>
      </c>
      <c r="D770" s="1" t="s">
        <v>59</v>
      </c>
      <c r="E770" s="1" t="s">
        <v>17</v>
      </c>
      <c r="F770" s="1" t="s">
        <v>1238</v>
      </c>
      <c r="G770" s="1" t="s">
        <v>18</v>
      </c>
      <c r="H770" s="1">
        <v>3</v>
      </c>
      <c r="I770" s="1">
        <f>Table1[[#This Row],[Units_Sold]]*Table1[[#This Row],[Unit_Price]]</f>
        <v>91.53</v>
      </c>
      <c r="J770" s="1">
        <v>30.51</v>
      </c>
      <c r="K770" s="1">
        <v>0</v>
      </c>
      <c r="L770" s="1">
        <v>91.53</v>
      </c>
      <c r="M770" s="1">
        <v>19.71</v>
      </c>
      <c r="N770" s="1">
        <v>24</v>
      </c>
      <c r="O770" s="1" t="s">
        <v>19</v>
      </c>
      <c r="P770" s="1" t="s">
        <v>27</v>
      </c>
    </row>
    <row r="771" spans="1:16" x14ac:dyDescent="0.3">
      <c r="A771" s="1">
        <v>101159</v>
      </c>
      <c r="B771" s="2">
        <v>45118</v>
      </c>
      <c r="C771" s="1" t="s">
        <v>813</v>
      </c>
      <c r="D771" s="1" t="s">
        <v>66</v>
      </c>
      <c r="E771" s="1" t="s">
        <v>17</v>
      </c>
      <c r="F771" s="1" t="s">
        <v>1241</v>
      </c>
      <c r="G771" s="1" t="s">
        <v>18</v>
      </c>
      <c r="H771" s="1">
        <v>4</v>
      </c>
      <c r="I771" s="1">
        <f>Table1[[#This Row],[Units_Sold]]*Table1[[#This Row],[Unit_Price]]</f>
        <v>513.67999999999995</v>
      </c>
      <c r="J771" s="1">
        <v>128.41999999999999</v>
      </c>
      <c r="K771" s="1">
        <v>0</v>
      </c>
      <c r="L771" s="1">
        <v>513.67999999999995</v>
      </c>
      <c r="M771" s="1">
        <v>141.94999999999999</v>
      </c>
      <c r="N771" s="1">
        <v>24</v>
      </c>
      <c r="O771" s="1" t="s">
        <v>26</v>
      </c>
      <c r="P771" s="1" t="s">
        <v>43</v>
      </c>
    </row>
    <row r="772" spans="1:16" x14ac:dyDescent="0.3">
      <c r="A772" s="1">
        <v>100559</v>
      </c>
      <c r="B772" s="2">
        <v>45817</v>
      </c>
      <c r="C772" s="1" t="s">
        <v>814</v>
      </c>
      <c r="D772" s="1" t="s">
        <v>37</v>
      </c>
      <c r="E772" s="1" t="s">
        <v>17</v>
      </c>
      <c r="F772" s="1" t="s">
        <v>1239</v>
      </c>
      <c r="G772" s="1" t="s">
        <v>64</v>
      </c>
      <c r="H772" s="1">
        <v>1</v>
      </c>
      <c r="I772" s="1">
        <f>Table1[[#This Row],[Units_Sold]]*Table1[[#This Row],[Unit_Price]]</f>
        <v>81.650000000000006</v>
      </c>
      <c r="J772" s="1">
        <v>81.650000000000006</v>
      </c>
      <c r="K772" s="1">
        <v>0</v>
      </c>
      <c r="L772" s="1">
        <v>81.650000000000006</v>
      </c>
      <c r="M772" s="1">
        <v>24.12</v>
      </c>
      <c r="N772" s="1">
        <v>20</v>
      </c>
      <c r="O772" s="1" t="s">
        <v>19</v>
      </c>
      <c r="P772" s="1" t="s">
        <v>32</v>
      </c>
    </row>
    <row r="773" spans="1:16" x14ac:dyDescent="0.3">
      <c r="A773" s="1">
        <v>100117</v>
      </c>
      <c r="B773" s="2">
        <v>45167</v>
      </c>
      <c r="C773" s="1" t="s">
        <v>815</v>
      </c>
      <c r="D773" s="1" t="s">
        <v>45</v>
      </c>
      <c r="E773" s="1" t="s">
        <v>30</v>
      </c>
      <c r="F773" s="1" t="s">
        <v>1238</v>
      </c>
      <c r="G773" s="1" t="s">
        <v>31</v>
      </c>
      <c r="H773" s="1">
        <v>3</v>
      </c>
      <c r="I773" s="1">
        <f>Table1[[#This Row],[Units_Sold]]*Table1[[#This Row],[Unit_Price]]</f>
        <v>50.400000000000006</v>
      </c>
      <c r="J773" s="1">
        <v>16.8</v>
      </c>
      <c r="K773" s="1">
        <v>10</v>
      </c>
      <c r="L773" s="1">
        <v>45.36</v>
      </c>
      <c r="M773" s="1">
        <v>15.54</v>
      </c>
      <c r="N773" s="1">
        <v>51</v>
      </c>
      <c r="O773" s="1" t="s">
        <v>19</v>
      </c>
      <c r="P773" s="1" t="s">
        <v>32</v>
      </c>
    </row>
    <row r="774" spans="1:16" x14ac:dyDescent="0.3">
      <c r="A774" s="1">
        <v>100637</v>
      </c>
      <c r="B774" s="2">
        <v>45013</v>
      </c>
      <c r="C774" s="1" t="s">
        <v>816</v>
      </c>
      <c r="D774" s="1" t="s">
        <v>68</v>
      </c>
      <c r="E774" s="1" t="s">
        <v>25</v>
      </c>
      <c r="F774" s="1" t="s">
        <v>1238</v>
      </c>
      <c r="G774" s="1" t="s">
        <v>31</v>
      </c>
      <c r="H774" s="1">
        <v>1</v>
      </c>
      <c r="I774" s="1">
        <f>Table1[[#This Row],[Units_Sold]]*Table1[[#This Row],[Unit_Price]]</f>
        <v>205.68</v>
      </c>
      <c r="J774" s="1">
        <v>205.68</v>
      </c>
      <c r="K774" s="1">
        <v>0</v>
      </c>
      <c r="L774" s="1">
        <v>205.68</v>
      </c>
      <c r="M774" s="1">
        <v>66.19</v>
      </c>
      <c r="N774" s="1">
        <v>16</v>
      </c>
      <c r="O774" s="1" t="s">
        <v>19</v>
      </c>
      <c r="P774" s="1" t="s">
        <v>32</v>
      </c>
    </row>
    <row r="775" spans="1:16" x14ac:dyDescent="0.3">
      <c r="A775" s="1">
        <v>101127</v>
      </c>
      <c r="B775" s="2">
        <v>45044</v>
      </c>
      <c r="C775" s="1" t="s">
        <v>817</v>
      </c>
      <c r="D775" s="1" t="s">
        <v>73</v>
      </c>
      <c r="E775" s="1" t="s">
        <v>25</v>
      </c>
      <c r="F775" s="1" t="s">
        <v>1241</v>
      </c>
      <c r="G775" s="1" t="s">
        <v>18</v>
      </c>
      <c r="H775" s="1">
        <v>6</v>
      </c>
      <c r="I775" s="1">
        <f>Table1[[#This Row],[Units_Sold]]*Table1[[#This Row],[Unit_Price]]</f>
        <v>242.88</v>
      </c>
      <c r="J775" s="1">
        <v>40.479999999999997</v>
      </c>
      <c r="K775" s="1">
        <v>10</v>
      </c>
      <c r="L775" s="1">
        <v>218.59</v>
      </c>
      <c r="M775" s="1">
        <v>47.7</v>
      </c>
      <c r="N775" s="1">
        <v>37</v>
      </c>
      <c r="O775" s="1" t="s">
        <v>19</v>
      </c>
      <c r="P775" s="1" t="s">
        <v>35</v>
      </c>
    </row>
    <row r="776" spans="1:16" x14ac:dyDescent="0.3">
      <c r="A776" s="1">
        <v>100750</v>
      </c>
      <c r="B776" s="2">
        <v>45255</v>
      </c>
      <c r="C776" s="1" t="s">
        <v>818</v>
      </c>
      <c r="D776" s="1" t="s">
        <v>70</v>
      </c>
      <c r="E776" s="1" t="s">
        <v>25</v>
      </c>
      <c r="F776" s="1" t="s">
        <v>1241</v>
      </c>
      <c r="G776" s="1" t="s">
        <v>48</v>
      </c>
      <c r="H776" s="1">
        <v>1</v>
      </c>
      <c r="I776" s="1">
        <f>Table1[[#This Row],[Units_Sold]]*Table1[[#This Row],[Unit_Price]]</f>
        <v>168.9</v>
      </c>
      <c r="J776" s="1">
        <v>168.9</v>
      </c>
      <c r="K776" s="1">
        <v>10</v>
      </c>
      <c r="L776" s="1">
        <v>152.01</v>
      </c>
      <c r="M776" s="1">
        <v>45.82</v>
      </c>
      <c r="N776" s="1">
        <v>22</v>
      </c>
      <c r="O776" s="1" t="s">
        <v>26</v>
      </c>
      <c r="P776" s="1" t="s">
        <v>81</v>
      </c>
    </row>
    <row r="777" spans="1:16" x14ac:dyDescent="0.3">
      <c r="A777" s="1">
        <v>100512</v>
      </c>
      <c r="B777" s="2">
        <v>45786</v>
      </c>
      <c r="C777" s="1" t="s">
        <v>240</v>
      </c>
      <c r="D777" s="1" t="s">
        <v>87</v>
      </c>
      <c r="E777" s="1" t="s">
        <v>25</v>
      </c>
      <c r="F777" s="1" t="s">
        <v>1238</v>
      </c>
      <c r="G777" s="1" t="s">
        <v>18</v>
      </c>
      <c r="H777" s="1">
        <v>1</v>
      </c>
      <c r="I777" s="1">
        <f>Table1[[#This Row],[Units_Sold]]*Table1[[#This Row],[Unit_Price]]</f>
        <v>82.72</v>
      </c>
      <c r="J777" s="1">
        <v>82.72</v>
      </c>
      <c r="K777" s="1">
        <v>5</v>
      </c>
      <c r="L777" s="1">
        <v>78.58</v>
      </c>
      <c r="M777" s="1">
        <v>24.92</v>
      </c>
      <c r="N777" s="1">
        <v>34</v>
      </c>
      <c r="O777" s="1" t="s">
        <v>19</v>
      </c>
      <c r="P777" s="1" t="s">
        <v>20</v>
      </c>
    </row>
    <row r="778" spans="1:16" x14ac:dyDescent="0.3">
      <c r="A778" s="1">
        <v>100633</v>
      </c>
      <c r="B778" s="2">
        <v>44990</v>
      </c>
      <c r="C778" s="1" t="s">
        <v>819</v>
      </c>
      <c r="D778" s="1" t="s">
        <v>59</v>
      </c>
      <c r="E778" s="1" t="s">
        <v>17</v>
      </c>
      <c r="F778" s="1" t="s">
        <v>1240</v>
      </c>
      <c r="G778" s="1" t="s">
        <v>18</v>
      </c>
      <c r="H778" s="1">
        <v>2</v>
      </c>
      <c r="I778" s="1">
        <f>Table1[[#This Row],[Units_Sold]]*Table1[[#This Row],[Unit_Price]]</f>
        <v>60.66</v>
      </c>
      <c r="J778" s="1">
        <v>30.33</v>
      </c>
      <c r="K778" s="1">
        <v>0</v>
      </c>
      <c r="L778" s="1">
        <v>60.66</v>
      </c>
      <c r="M778" s="1">
        <v>16.72</v>
      </c>
      <c r="N778" s="1">
        <v>29</v>
      </c>
      <c r="O778" s="1" t="s">
        <v>19</v>
      </c>
      <c r="P778" s="1" t="s">
        <v>43</v>
      </c>
    </row>
    <row r="779" spans="1:16" x14ac:dyDescent="0.3">
      <c r="A779" s="1">
        <v>100785</v>
      </c>
      <c r="B779" s="2">
        <v>45523</v>
      </c>
      <c r="C779" s="1" t="s">
        <v>820</v>
      </c>
      <c r="D779" s="1" t="s">
        <v>29</v>
      </c>
      <c r="E779" s="1" t="s">
        <v>30</v>
      </c>
      <c r="F779" s="1" t="s">
        <v>1238</v>
      </c>
      <c r="G779" s="1" t="s">
        <v>48</v>
      </c>
      <c r="H779" s="1">
        <v>4</v>
      </c>
      <c r="I779" s="1">
        <f>Table1[[#This Row],[Units_Sold]]*Table1[[#This Row],[Unit_Price]]</f>
        <v>73.040000000000006</v>
      </c>
      <c r="J779" s="1">
        <v>18.260000000000002</v>
      </c>
      <c r="K779" s="1">
        <v>10</v>
      </c>
      <c r="L779" s="1">
        <v>65.739999999999995</v>
      </c>
      <c r="M779" s="1">
        <v>14.12</v>
      </c>
      <c r="N779" s="1">
        <v>34</v>
      </c>
      <c r="O779" s="1" t="s">
        <v>19</v>
      </c>
      <c r="P779" s="1" t="s">
        <v>32</v>
      </c>
    </row>
    <row r="780" spans="1:16" x14ac:dyDescent="0.3">
      <c r="A780" s="1">
        <v>101006</v>
      </c>
      <c r="B780" s="2">
        <v>45336</v>
      </c>
      <c r="C780" s="1" t="s">
        <v>821</v>
      </c>
      <c r="D780" s="1" t="s">
        <v>29</v>
      </c>
      <c r="E780" s="1" t="s">
        <v>30</v>
      </c>
      <c r="F780" s="1" t="s">
        <v>1241</v>
      </c>
      <c r="G780" s="1" t="s">
        <v>18</v>
      </c>
      <c r="H780" s="1">
        <v>5</v>
      </c>
      <c r="I780" s="1">
        <f>Table1[[#This Row],[Units_Sold]]*Table1[[#This Row],[Unit_Price]]</f>
        <v>93.100000000000009</v>
      </c>
      <c r="J780" s="1">
        <v>18.62</v>
      </c>
      <c r="K780" s="1">
        <v>10</v>
      </c>
      <c r="L780" s="1">
        <v>83.79</v>
      </c>
      <c r="M780" s="1">
        <v>31.99</v>
      </c>
      <c r="N780" s="1">
        <v>25</v>
      </c>
      <c r="O780" s="1" t="s">
        <v>19</v>
      </c>
      <c r="P780" s="1" t="s">
        <v>51</v>
      </c>
    </row>
    <row r="781" spans="1:16" x14ac:dyDescent="0.3">
      <c r="A781" s="1">
        <v>100852</v>
      </c>
      <c r="B781" s="2">
        <v>45848</v>
      </c>
      <c r="C781" s="1" t="s">
        <v>822</v>
      </c>
      <c r="D781" s="1" t="s">
        <v>62</v>
      </c>
      <c r="E781" s="1" t="s">
        <v>17</v>
      </c>
      <c r="F781" s="1" t="s">
        <v>1241</v>
      </c>
      <c r="G781" s="1" t="s">
        <v>31</v>
      </c>
      <c r="H781" s="1">
        <v>2</v>
      </c>
      <c r="I781" s="1">
        <f>Table1[[#This Row],[Units_Sold]]*Table1[[#This Row],[Unit_Price]]</f>
        <v>288.3</v>
      </c>
      <c r="J781" s="1">
        <v>144.15</v>
      </c>
      <c r="K781" s="1">
        <v>5</v>
      </c>
      <c r="L781" s="1">
        <v>273.88</v>
      </c>
      <c r="M781" s="1">
        <v>86.29</v>
      </c>
      <c r="N781" s="1">
        <v>33</v>
      </c>
      <c r="O781" s="1" t="s">
        <v>26</v>
      </c>
      <c r="P781" s="1" t="s">
        <v>20</v>
      </c>
    </row>
    <row r="782" spans="1:16" x14ac:dyDescent="0.3">
      <c r="A782" s="1">
        <v>100126</v>
      </c>
      <c r="B782" s="2">
        <v>44989</v>
      </c>
      <c r="C782" s="1" t="s">
        <v>823</v>
      </c>
      <c r="D782" s="1" t="s">
        <v>53</v>
      </c>
      <c r="E782" s="1" t="s">
        <v>30</v>
      </c>
      <c r="F782" s="1" t="s">
        <v>1238</v>
      </c>
      <c r="G782" s="1" t="s">
        <v>18</v>
      </c>
      <c r="H782" s="1">
        <v>4</v>
      </c>
      <c r="I782" s="1">
        <f>Table1[[#This Row],[Units_Sold]]*Table1[[#This Row],[Unit_Price]]</f>
        <v>83</v>
      </c>
      <c r="J782" s="1">
        <v>20.75</v>
      </c>
      <c r="K782" s="1">
        <v>0</v>
      </c>
      <c r="L782" s="1">
        <v>83</v>
      </c>
      <c r="M782" s="1">
        <v>28.01</v>
      </c>
      <c r="N782" s="1">
        <v>39</v>
      </c>
      <c r="O782" s="1" t="s">
        <v>19</v>
      </c>
      <c r="P782" s="1" t="s">
        <v>46</v>
      </c>
    </row>
    <row r="783" spans="1:16" x14ac:dyDescent="0.3">
      <c r="A783" s="1">
        <v>100116</v>
      </c>
      <c r="B783" s="2">
        <v>45858</v>
      </c>
      <c r="C783" s="1" t="s">
        <v>824</v>
      </c>
      <c r="D783" s="1" t="s">
        <v>16</v>
      </c>
      <c r="E783" s="1" t="s">
        <v>17</v>
      </c>
      <c r="F783" s="1" t="s">
        <v>1241</v>
      </c>
      <c r="G783" s="1" t="s">
        <v>18</v>
      </c>
      <c r="H783" s="1">
        <v>3</v>
      </c>
      <c r="I783" s="1">
        <f>Table1[[#This Row],[Units_Sold]]*Table1[[#This Row],[Unit_Price]]</f>
        <v>183.3</v>
      </c>
      <c r="J783" s="1">
        <v>61.1</v>
      </c>
      <c r="K783" s="1">
        <v>0</v>
      </c>
      <c r="L783" s="1">
        <v>183.3</v>
      </c>
      <c r="M783" s="1">
        <v>62.42</v>
      </c>
      <c r="N783" s="1">
        <v>16</v>
      </c>
      <c r="O783" s="1" t="s">
        <v>26</v>
      </c>
      <c r="P783" s="1" t="s">
        <v>46</v>
      </c>
    </row>
    <row r="784" spans="1:16" x14ac:dyDescent="0.3">
      <c r="A784" s="1">
        <v>100473</v>
      </c>
      <c r="B784" s="2">
        <v>45162</v>
      </c>
      <c r="C784" s="1" t="s">
        <v>825</v>
      </c>
      <c r="D784" s="1" t="s">
        <v>24</v>
      </c>
      <c r="E784" s="1" t="s">
        <v>25</v>
      </c>
      <c r="F784" s="1" t="s">
        <v>1241</v>
      </c>
      <c r="G784" s="1" t="s">
        <v>18</v>
      </c>
      <c r="H784" s="1">
        <v>6</v>
      </c>
      <c r="I784" s="1">
        <f>Table1[[#This Row],[Units_Sold]]*Table1[[#This Row],[Unit_Price]]</f>
        <v>608.64</v>
      </c>
      <c r="J784" s="1">
        <v>101.44</v>
      </c>
      <c r="K784" s="1">
        <v>0</v>
      </c>
      <c r="L784" s="1">
        <v>608.64</v>
      </c>
      <c r="M784" s="1">
        <v>152.53</v>
      </c>
      <c r="N784" s="1">
        <v>34</v>
      </c>
      <c r="O784" s="1" t="s">
        <v>26</v>
      </c>
      <c r="P784" s="1" t="s">
        <v>27</v>
      </c>
    </row>
    <row r="785" spans="1:16" x14ac:dyDescent="0.3">
      <c r="A785" s="1">
        <v>100740</v>
      </c>
      <c r="B785" s="2">
        <v>45331</v>
      </c>
      <c r="C785" s="1" t="s">
        <v>826</v>
      </c>
      <c r="D785" s="1" t="s">
        <v>62</v>
      </c>
      <c r="E785" s="1" t="s">
        <v>17</v>
      </c>
      <c r="F785" s="1" t="s">
        <v>1240</v>
      </c>
      <c r="G785" s="1" t="s">
        <v>31</v>
      </c>
      <c r="H785" s="1">
        <v>1</v>
      </c>
      <c r="I785" s="1">
        <f>Table1[[#This Row],[Units_Sold]]*Table1[[#This Row],[Unit_Price]]</f>
        <v>121.08</v>
      </c>
      <c r="J785" s="1">
        <v>121.08</v>
      </c>
      <c r="K785" s="1">
        <v>0</v>
      </c>
      <c r="L785" s="1">
        <v>121.08</v>
      </c>
      <c r="M785" s="1">
        <v>35.31</v>
      </c>
      <c r="N785" s="1">
        <v>25</v>
      </c>
      <c r="O785" s="1" t="s">
        <v>19</v>
      </c>
      <c r="P785" s="1" t="s">
        <v>35</v>
      </c>
    </row>
    <row r="786" spans="1:16" x14ac:dyDescent="0.3">
      <c r="A786" s="1">
        <v>100992</v>
      </c>
      <c r="B786" s="2">
        <v>45679</v>
      </c>
      <c r="C786" s="1" t="s">
        <v>827</v>
      </c>
      <c r="D786" s="1" t="s">
        <v>39</v>
      </c>
      <c r="E786" s="1" t="s">
        <v>25</v>
      </c>
      <c r="F786" s="1" t="s">
        <v>1239</v>
      </c>
      <c r="G786" s="1" t="s">
        <v>18</v>
      </c>
      <c r="H786" s="1">
        <v>2</v>
      </c>
      <c r="I786" s="1">
        <f>Table1[[#This Row],[Units_Sold]]*Table1[[#This Row],[Unit_Price]]</f>
        <v>368.18</v>
      </c>
      <c r="J786" s="1">
        <v>184.09</v>
      </c>
      <c r="K786" s="1">
        <v>5</v>
      </c>
      <c r="L786" s="1">
        <v>349.77</v>
      </c>
      <c r="M786" s="1">
        <v>109.44</v>
      </c>
      <c r="N786" s="1">
        <v>17</v>
      </c>
      <c r="O786" s="1" t="s">
        <v>19</v>
      </c>
      <c r="P786" s="1" t="s">
        <v>35</v>
      </c>
    </row>
    <row r="787" spans="1:16" x14ac:dyDescent="0.3">
      <c r="A787" s="1">
        <v>100057</v>
      </c>
      <c r="B787" s="2">
        <v>44933</v>
      </c>
      <c r="C787" s="1" t="s">
        <v>828</v>
      </c>
      <c r="D787" s="1" t="s">
        <v>59</v>
      </c>
      <c r="E787" s="1" t="s">
        <v>17</v>
      </c>
      <c r="F787" s="1" t="s">
        <v>1238</v>
      </c>
      <c r="G787" s="1" t="s">
        <v>48</v>
      </c>
      <c r="H787" s="1">
        <v>4</v>
      </c>
      <c r="I787" s="1">
        <f>Table1[[#This Row],[Units_Sold]]*Table1[[#This Row],[Unit_Price]]</f>
        <v>125.84</v>
      </c>
      <c r="J787" s="1">
        <v>31.46</v>
      </c>
      <c r="K787" s="1">
        <v>5</v>
      </c>
      <c r="L787" s="1">
        <v>119.55</v>
      </c>
      <c r="M787" s="1">
        <v>37.4</v>
      </c>
      <c r="N787" s="1">
        <v>28</v>
      </c>
      <c r="O787" s="1" t="s">
        <v>19</v>
      </c>
      <c r="P787" s="1" t="s">
        <v>51</v>
      </c>
    </row>
    <row r="788" spans="1:16" x14ac:dyDescent="0.3">
      <c r="A788" s="1">
        <v>100603</v>
      </c>
      <c r="B788" s="2">
        <v>45431</v>
      </c>
      <c r="C788" s="1" t="s">
        <v>829</v>
      </c>
      <c r="D788" s="1" t="s">
        <v>42</v>
      </c>
      <c r="E788" s="1" t="s">
        <v>25</v>
      </c>
      <c r="F788" s="1" t="s">
        <v>1241</v>
      </c>
      <c r="G788" s="1" t="s">
        <v>18</v>
      </c>
      <c r="H788" s="1">
        <v>3</v>
      </c>
      <c r="I788" s="1">
        <f>Table1[[#This Row],[Units_Sold]]*Table1[[#This Row],[Unit_Price]]</f>
        <v>509.09999999999997</v>
      </c>
      <c r="J788" s="1">
        <v>169.7</v>
      </c>
      <c r="K788" s="1">
        <v>0</v>
      </c>
      <c r="L788" s="1">
        <v>509.1</v>
      </c>
      <c r="M788" s="1">
        <v>180.04</v>
      </c>
      <c r="N788" s="1">
        <v>32</v>
      </c>
      <c r="O788" s="1" t="s">
        <v>26</v>
      </c>
      <c r="P788" s="1" t="s">
        <v>27</v>
      </c>
    </row>
    <row r="789" spans="1:16" x14ac:dyDescent="0.3">
      <c r="A789" s="1">
        <v>100786</v>
      </c>
      <c r="B789" s="2">
        <v>45652</v>
      </c>
      <c r="C789" s="1" t="s">
        <v>830</v>
      </c>
      <c r="D789" s="1" t="s">
        <v>34</v>
      </c>
      <c r="E789" s="1" t="s">
        <v>30</v>
      </c>
      <c r="F789" s="1" t="s">
        <v>1241</v>
      </c>
      <c r="G789" s="1" t="s">
        <v>18</v>
      </c>
      <c r="H789" s="1">
        <v>2</v>
      </c>
      <c r="I789" s="1">
        <f>Table1[[#This Row],[Units_Sold]]*Table1[[#This Row],[Unit_Price]]</f>
        <v>113.52</v>
      </c>
      <c r="J789" s="1">
        <v>56.76</v>
      </c>
      <c r="K789" s="1">
        <v>0</v>
      </c>
      <c r="L789" s="1">
        <v>113.52</v>
      </c>
      <c r="M789" s="1">
        <v>24.97</v>
      </c>
      <c r="N789" s="1">
        <v>23</v>
      </c>
      <c r="O789" s="1" t="s">
        <v>26</v>
      </c>
      <c r="P789" s="1" t="s">
        <v>43</v>
      </c>
    </row>
    <row r="790" spans="1:16" x14ac:dyDescent="0.3">
      <c r="A790" s="1">
        <v>100970</v>
      </c>
      <c r="B790" s="2">
        <v>45314</v>
      </c>
      <c r="C790" s="1" t="s">
        <v>831</v>
      </c>
      <c r="D790" s="1" t="s">
        <v>100</v>
      </c>
      <c r="E790" s="1" t="s">
        <v>25</v>
      </c>
      <c r="F790" s="1" t="s">
        <v>1238</v>
      </c>
      <c r="G790" s="1" t="s">
        <v>18</v>
      </c>
      <c r="H790" s="1">
        <v>2</v>
      </c>
      <c r="I790" s="1">
        <f>Table1[[#This Row],[Units_Sold]]*Table1[[#This Row],[Unit_Price]]</f>
        <v>232.92</v>
      </c>
      <c r="J790" s="1">
        <v>116.46</v>
      </c>
      <c r="K790" s="1">
        <v>10</v>
      </c>
      <c r="L790" s="1">
        <v>209.63</v>
      </c>
      <c r="M790" s="1">
        <v>43.47</v>
      </c>
      <c r="N790" s="1">
        <v>31</v>
      </c>
      <c r="O790" s="1" t="s">
        <v>26</v>
      </c>
      <c r="P790" s="1" t="s">
        <v>46</v>
      </c>
    </row>
    <row r="791" spans="1:16" x14ac:dyDescent="0.3">
      <c r="A791" s="1">
        <v>100656</v>
      </c>
      <c r="B791" s="2">
        <v>45844</v>
      </c>
      <c r="C791" s="1" t="s">
        <v>832</v>
      </c>
      <c r="D791" s="1" t="s">
        <v>87</v>
      </c>
      <c r="E791" s="1" t="s">
        <v>25</v>
      </c>
      <c r="F791" s="1" t="s">
        <v>1241</v>
      </c>
      <c r="G791" s="1" t="s">
        <v>31</v>
      </c>
      <c r="H791" s="1">
        <v>5</v>
      </c>
      <c r="I791" s="1">
        <f>Table1[[#This Row],[Units_Sold]]*Table1[[#This Row],[Unit_Price]]</f>
        <v>404.7</v>
      </c>
      <c r="J791" s="1">
        <v>80.94</v>
      </c>
      <c r="K791" s="1">
        <v>0</v>
      </c>
      <c r="L791" s="1">
        <v>404.7</v>
      </c>
      <c r="M791" s="1">
        <v>143.22</v>
      </c>
      <c r="N791" s="1">
        <v>23</v>
      </c>
      <c r="O791" s="1" t="s">
        <v>19</v>
      </c>
      <c r="P791" s="1" t="s">
        <v>46</v>
      </c>
    </row>
    <row r="792" spans="1:16" x14ac:dyDescent="0.3">
      <c r="A792" s="1">
        <v>100902</v>
      </c>
      <c r="B792" s="2">
        <v>45820</v>
      </c>
      <c r="C792" s="1" t="s">
        <v>833</v>
      </c>
      <c r="D792" s="1" t="s">
        <v>68</v>
      </c>
      <c r="E792" s="1" t="s">
        <v>25</v>
      </c>
      <c r="F792" s="1" t="s">
        <v>1240</v>
      </c>
      <c r="G792" s="1" t="s">
        <v>48</v>
      </c>
      <c r="H792" s="1">
        <v>3</v>
      </c>
      <c r="I792" s="1">
        <f>Table1[[#This Row],[Units_Sold]]*Table1[[#This Row],[Unit_Price]]</f>
        <v>664.47</v>
      </c>
      <c r="J792" s="1">
        <v>221.49</v>
      </c>
      <c r="K792" s="1">
        <v>0</v>
      </c>
      <c r="L792" s="1">
        <v>664.47</v>
      </c>
      <c r="M792" s="1">
        <v>225.85</v>
      </c>
      <c r="N792" s="1">
        <v>26</v>
      </c>
      <c r="O792" s="1" t="s">
        <v>26</v>
      </c>
      <c r="P792" s="1" t="s">
        <v>27</v>
      </c>
    </row>
    <row r="793" spans="1:16" x14ac:dyDescent="0.3">
      <c r="A793" s="1">
        <v>100921</v>
      </c>
      <c r="B793" s="2">
        <v>45325</v>
      </c>
      <c r="C793" s="1" t="s">
        <v>834</v>
      </c>
      <c r="D793" s="1" t="s">
        <v>73</v>
      </c>
      <c r="E793" s="1" t="s">
        <v>25</v>
      </c>
      <c r="F793" s="1" t="s">
        <v>1241</v>
      </c>
      <c r="G793" s="1" t="s">
        <v>18</v>
      </c>
      <c r="H793" s="1">
        <v>3</v>
      </c>
      <c r="I793" s="1">
        <f>Table1[[#This Row],[Units_Sold]]*Table1[[#This Row],[Unit_Price]]</f>
        <v>89.37</v>
      </c>
      <c r="J793" s="1">
        <v>29.79</v>
      </c>
      <c r="K793" s="1">
        <v>10</v>
      </c>
      <c r="L793" s="1">
        <v>80.430000000000007</v>
      </c>
      <c r="M793" s="1">
        <v>28.4</v>
      </c>
      <c r="N793" s="1">
        <v>26</v>
      </c>
      <c r="O793" s="1" t="s">
        <v>19</v>
      </c>
      <c r="P793" s="1" t="s">
        <v>46</v>
      </c>
    </row>
    <row r="794" spans="1:16" x14ac:dyDescent="0.3">
      <c r="A794" s="1">
        <v>100105</v>
      </c>
      <c r="B794" s="2">
        <v>45188</v>
      </c>
      <c r="C794" s="1" t="s">
        <v>835</v>
      </c>
      <c r="D794" s="1" t="s">
        <v>39</v>
      </c>
      <c r="E794" s="1" t="s">
        <v>25</v>
      </c>
      <c r="F794" s="1" t="s">
        <v>1238</v>
      </c>
      <c r="G794" s="1" t="s">
        <v>18</v>
      </c>
      <c r="H794" s="1">
        <v>3</v>
      </c>
      <c r="I794" s="1">
        <f>Table1[[#This Row],[Units_Sold]]*Table1[[#This Row],[Unit_Price]]</f>
        <v>515.06999999999994</v>
      </c>
      <c r="J794" s="1">
        <v>171.69</v>
      </c>
      <c r="K794" s="1">
        <v>0</v>
      </c>
      <c r="L794" s="1">
        <v>515.07000000000005</v>
      </c>
      <c r="M794" s="1">
        <v>135.88999999999999</v>
      </c>
      <c r="N794" s="1">
        <v>49</v>
      </c>
      <c r="O794" s="1" t="s">
        <v>26</v>
      </c>
      <c r="P794" s="1" t="s">
        <v>27</v>
      </c>
    </row>
    <row r="795" spans="1:16" x14ac:dyDescent="0.3">
      <c r="A795" s="1">
        <v>100635</v>
      </c>
      <c r="B795" s="2">
        <v>45372</v>
      </c>
      <c r="C795" s="1" t="s">
        <v>836</v>
      </c>
      <c r="D795" s="1" t="s">
        <v>45</v>
      </c>
      <c r="E795" s="1" t="s">
        <v>30</v>
      </c>
      <c r="F795" s="1" t="s">
        <v>1241</v>
      </c>
      <c r="G795" s="1" t="s">
        <v>18</v>
      </c>
      <c r="H795" s="1">
        <v>1</v>
      </c>
      <c r="I795" s="1">
        <f>Table1[[#This Row],[Units_Sold]]*Table1[[#This Row],[Unit_Price]]</f>
        <v>15.38</v>
      </c>
      <c r="J795" s="1">
        <v>15.38</v>
      </c>
      <c r="K795" s="1">
        <v>20</v>
      </c>
      <c r="L795" s="1">
        <v>12.3</v>
      </c>
      <c r="M795" s="1">
        <v>6.01</v>
      </c>
      <c r="N795" s="1">
        <v>26</v>
      </c>
      <c r="O795" s="1" t="s">
        <v>19</v>
      </c>
      <c r="P795" s="1" t="s">
        <v>43</v>
      </c>
    </row>
    <row r="796" spans="1:16" x14ac:dyDescent="0.3">
      <c r="A796" s="1">
        <v>100369</v>
      </c>
      <c r="B796" s="2">
        <v>45116</v>
      </c>
      <c r="C796" s="1" t="s">
        <v>837</v>
      </c>
      <c r="D796" s="1" t="s">
        <v>59</v>
      </c>
      <c r="E796" s="1" t="s">
        <v>17</v>
      </c>
      <c r="F796" s="1" t="s">
        <v>1238</v>
      </c>
      <c r="G796" s="1" t="s">
        <v>18</v>
      </c>
      <c r="H796" s="1">
        <v>5</v>
      </c>
      <c r="I796" s="1">
        <f>Table1[[#This Row],[Units_Sold]]*Table1[[#This Row],[Unit_Price]]</f>
        <v>153.45000000000002</v>
      </c>
      <c r="J796" s="1">
        <v>30.69</v>
      </c>
      <c r="K796" s="1">
        <v>0</v>
      </c>
      <c r="L796" s="1">
        <v>153.44999999999999</v>
      </c>
      <c r="M796" s="1">
        <v>53.7</v>
      </c>
      <c r="N796" s="1">
        <v>28</v>
      </c>
      <c r="O796" s="1" t="s">
        <v>26</v>
      </c>
      <c r="P796" s="1" t="s">
        <v>46</v>
      </c>
    </row>
    <row r="797" spans="1:16" x14ac:dyDescent="0.3">
      <c r="A797" s="1">
        <v>100268</v>
      </c>
      <c r="B797" s="2">
        <v>45892</v>
      </c>
      <c r="C797" s="1" t="s">
        <v>838</v>
      </c>
      <c r="D797" s="1" t="s">
        <v>16</v>
      </c>
      <c r="E797" s="1" t="s">
        <v>17</v>
      </c>
      <c r="F797" s="1" t="s">
        <v>1237</v>
      </c>
      <c r="G797" s="1" t="s">
        <v>18</v>
      </c>
      <c r="H797" s="1">
        <v>2</v>
      </c>
      <c r="I797" s="1">
        <f>Table1[[#This Row],[Units_Sold]]*Table1[[#This Row],[Unit_Price]]</f>
        <v>115.64</v>
      </c>
      <c r="J797" s="1">
        <v>57.82</v>
      </c>
      <c r="K797" s="1">
        <v>5</v>
      </c>
      <c r="L797" s="1">
        <v>109.86</v>
      </c>
      <c r="M797" s="1">
        <v>38.83</v>
      </c>
      <c r="N797" s="1">
        <v>41</v>
      </c>
      <c r="O797" s="1" t="s">
        <v>26</v>
      </c>
      <c r="P797" s="1" t="s">
        <v>32</v>
      </c>
    </row>
    <row r="798" spans="1:16" x14ac:dyDescent="0.3">
      <c r="A798" s="1">
        <v>100655</v>
      </c>
      <c r="B798" s="2">
        <v>45900</v>
      </c>
      <c r="C798" s="1" t="s">
        <v>839</v>
      </c>
      <c r="D798" s="1" t="s">
        <v>100</v>
      </c>
      <c r="E798" s="1" t="s">
        <v>25</v>
      </c>
      <c r="F798" s="1" t="s">
        <v>1237</v>
      </c>
      <c r="G798" s="1" t="s">
        <v>18</v>
      </c>
      <c r="H798" s="1">
        <v>6</v>
      </c>
      <c r="I798" s="1">
        <f>Table1[[#This Row],[Units_Sold]]*Table1[[#This Row],[Unit_Price]]</f>
        <v>698.09999999999991</v>
      </c>
      <c r="J798" s="1">
        <v>116.35</v>
      </c>
      <c r="K798" s="1">
        <v>0</v>
      </c>
      <c r="L798" s="1">
        <v>698.1</v>
      </c>
      <c r="M798" s="1">
        <v>156.12</v>
      </c>
      <c r="N798" s="1">
        <v>16</v>
      </c>
      <c r="O798" s="1" t="s">
        <v>19</v>
      </c>
      <c r="P798" s="1" t="s">
        <v>35</v>
      </c>
    </row>
    <row r="799" spans="1:16" x14ac:dyDescent="0.3">
      <c r="A799" s="1">
        <v>100046</v>
      </c>
      <c r="B799" s="2">
        <v>45640</v>
      </c>
      <c r="C799" s="1" t="s">
        <v>840</v>
      </c>
      <c r="D799" s="1" t="s">
        <v>16</v>
      </c>
      <c r="E799" s="1" t="s">
        <v>17</v>
      </c>
      <c r="F799" s="1" t="s">
        <v>1241</v>
      </c>
      <c r="G799" s="1" t="s">
        <v>31</v>
      </c>
      <c r="H799" s="1">
        <v>4</v>
      </c>
      <c r="I799" s="1">
        <f>Table1[[#This Row],[Units_Sold]]*Table1[[#This Row],[Unit_Price]]</f>
        <v>251.08</v>
      </c>
      <c r="J799" s="1">
        <v>62.77</v>
      </c>
      <c r="K799" s="1">
        <v>0</v>
      </c>
      <c r="L799" s="1">
        <v>251.08</v>
      </c>
      <c r="M799" s="1">
        <v>76.400000000000006</v>
      </c>
      <c r="N799" s="1">
        <v>46</v>
      </c>
      <c r="O799" s="1" t="s">
        <v>26</v>
      </c>
      <c r="P799" s="1" t="s">
        <v>35</v>
      </c>
    </row>
    <row r="800" spans="1:16" x14ac:dyDescent="0.3">
      <c r="A800" s="1">
        <v>100349</v>
      </c>
      <c r="B800" s="2">
        <v>44957</v>
      </c>
      <c r="C800" s="1" t="s">
        <v>841</v>
      </c>
      <c r="D800" s="1" t="s">
        <v>22</v>
      </c>
      <c r="E800" s="1" t="s">
        <v>17</v>
      </c>
      <c r="F800" s="1" t="s">
        <v>1240</v>
      </c>
      <c r="G800" s="1" t="s">
        <v>31</v>
      </c>
      <c r="H800" s="1">
        <v>5</v>
      </c>
      <c r="I800" s="1">
        <f>Table1[[#This Row],[Units_Sold]]*Table1[[#This Row],[Unit_Price]]</f>
        <v>132.35</v>
      </c>
      <c r="J800" s="1">
        <v>26.47</v>
      </c>
      <c r="K800" s="1">
        <v>10</v>
      </c>
      <c r="L800" s="1">
        <v>119.11</v>
      </c>
      <c r="M800" s="1">
        <v>24.82</v>
      </c>
      <c r="N800" s="1">
        <v>37</v>
      </c>
      <c r="O800" s="1" t="s">
        <v>19</v>
      </c>
      <c r="P800" s="1" t="s">
        <v>51</v>
      </c>
    </row>
    <row r="801" spans="1:16" x14ac:dyDescent="0.3">
      <c r="A801" s="1">
        <v>100773</v>
      </c>
      <c r="B801" s="2">
        <v>45885</v>
      </c>
      <c r="C801" s="1" t="s">
        <v>842</v>
      </c>
      <c r="D801" s="1" t="s">
        <v>37</v>
      </c>
      <c r="E801" s="1" t="s">
        <v>17</v>
      </c>
      <c r="F801" s="1" t="s">
        <v>1239</v>
      </c>
      <c r="G801" s="1" t="s">
        <v>18</v>
      </c>
      <c r="H801" s="1">
        <v>3</v>
      </c>
      <c r="I801" s="1">
        <f>Table1[[#This Row],[Units_Sold]]*Table1[[#This Row],[Unit_Price]]</f>
        <v>210.03000000000003</v>
      </c>
      <c r="J801" s="1">
        <v>70.010000000000005</v>
      </c>
      <c r="K801" s="1">
        <v>5</v>
      </c>
      <c r="L801" s="1">
        <v>199.53</v>
      </c>
      <c r="M801" s="1">
        <v>57.71</v>
      </c>
      <c r="N801" s="1">
        <v>29</v>
      </c>
      <c r="O801" s="1" t="s">
        <v>26</v>
      </c>
      <c r="P801" s="1" t="s">
        <v>43</v>
      </c>
    </row>
    <row r="802" spans="1:16" x14ac:dyDescent="0.3">
      <c r="A802" s="1">
        <v>100195</v>
      </c>
      <c r="B802" s="2">
        <v>45837</v>
      </c>
      <c r="C802" s="1" t="s">
        <v>843</v>
      </c>
      <c r="D802" s="1" t="s">
        <v>45</v>
      </c>
      <c r="E802" s="1" t="s">
        <v>30</v>
      </c>
      <c r="F802" s="1" t="s">
        <v>1240</v>
      </c>
      <c r="G802" s="1" t="s">
        <v>31</v>
      </c>
      <c r="H802" s="1">
        <v>3</v>
      </c>
      <c r="I802" s="1">
        <f>Table1[[#This Row],[Units_Sold]]*Table1[[#This Row],[Unit_Price]]</f>
        <v>45.42</v>
      </c>
      <c r="J802" s="1">
        <v>15.14</v>
      </c>
      <c r="K802" s="1">
        <v>5</v>
      </c>
      <c r="L802" s="1">
        <v>43.15</v>
      </c>
      <c r="M802" s="1">
        <v>17.54</v>
      </c>
      <c r="N802" s="1">
        <v>29</v>
      </c>
      <c r="O802" s="1" t="s">
        <v>19</v>
      </c>
      <c r="P802" s="1" t="s">
        <v>32</v>
      </c>
    </row>
    <row r="803" spans="1:16" x14ac:dyDescent="0.3">
      <c r="A803" s="1">
        <v>100102</v>
      </c>
      <c r="B803" s="2">
        <v>45705</v>
      </c>
      <c r="C803" s="1" t="s">
        <v>844</v>
      </c>
      <c r="D803" s="1" t="s">
        <v>87</v>
      </c>
      <c r="E803" s="1" t="s">
        <v>25</v>
      </c>
      <c r="F803" s="1" t="s">
        <v>1237</v>
      </c>
      <c r="G803" s="1" t="s">
        <v>48</v>
      </c>
      <c r="H803" s="1">
        <v>2</v>
      </c>
      <c r="I803" s="1">
        <f>Table1[[#This Row],[Units_Sold]]*Table1[[#This Row],[Unit_Price]]</f>
        <v>159.62</v>
      </c>
      <c r="J803" s="1">
        <v>79.81</v>
      </c>
      <c r="K803" s="1">
        <v>5</v>
      </c>
      <c r="L803" s="1">
        <v>151.63999999999999</v>
      </c>
      <c r="M803" s="1">
        <v>31.81</v>
      </c>
      <c r="N803" s="1">
        <v>32</v>
      </c>
      <c r="O803" s="1" t="s">
        <v>26</v>
      </c>
      <c r="P803" s="1" t="s">
        <v>81</v>
      </c>
    </row>
    <row r="804" spans="1:16" x14ac:dyDescent="0.3">
      <c r="A804" s="1">
        <v>100004</v>
      </c>
      <c r="B804" s="2">
        <v>45476</v>
      </c>
      <c r="C804" s="1" t="s">
        <v>845</v>
      </c>
      <c r="D804" s="1" t="s">
        <v>87</v>
      </c>
      <c r="E804" s="1" t="s">
        <v>25</v>
      </c>
      <c r="F804" s="1" t="s">
        <v>1238</v>
      </c>
      <c r="G804" s="1" t="s">
        <v>31</v>
      </c>
      <c r="H804" s="1">
        <v>2</v>
      </c>
      <c r="I804" s="1">
        <f>Table1[[#This Row],[Units_Sold]]*Table1[[#This Row],[Unit_Price]]</f>
        <v>170.92</v>
      </c>
      <c r="J804" s="1">
        <v>85.46</v>
      </c>
      <c r="K804" s="1">
        <v>0</v>
      </c>
      <c r="L804" s="1">
        <v>170.92</v>
      </c>
      <c r="M804" s="1">
        <v>39.1</v>
      </c>
      <c r="N804" s="1">
        <v>20</v>
      </c>
      <c r="O804" s="1" t="s">
        <v>19</v>
      </c>
      <c r="P804" s="1" t="s">
        <v>43</v>
      </c>
    </row>
    <row r="805" spans="1:16" x14ac:dyDescent="0.3">
      <c r="A805" s="1">
        <v>100619</v>
      </c>
      <c r="B805" s="2">
        <v>45071</v>
      </c>
      <c r="C805" s="1" t="s">
        <v>846</v>
      </c>
      <c r="D805" s="1" t="s">
        <v>16</v>
      </c>
      <c r="E805" s="1" t="s">
        <v>17</v>
      </c>
      <c r="F805" s="1" t="s">
        <v>1241</v>
      </c>
      <c r="G805" s="1" t="s">
        <v>18</v>
      </c>
      <c r="H805" s="1">
        <v>3</v>
      </c>
      <c r="I805" s="1">
        <f>Table1[[#This Row],[Units_Sold]]*Table1[[#This Row],[Unit_Price]]</f>
        <v>142.05000000000001</v>
      </c>
      <c r="J805" s="1">
        <v>47.35</v>
      </c>
      <c r="K805" s="1">
        <v>0</v>
      </c>
      <c r="L805" s="1">
        <v>142.05000000000001</v>
      </c>
      <c r="M805" s="1">
        <v>39.31</v>
      </c>
      <c r="N805" s="1">
        <v>22</v>
      </c>
      <c r="O805" s="1" t="s">
        <v>19</v>
      </c>
      <c r="P805" s="1" t="s">
        <v>46</v>
      </c>
    </row>
    <row r="806" spans="1:16" x14ac:dyDescent="0.3">
      <c r="A806" s="1">
        <v>100990</v>
      </c>
      <c r="B806" s="2">
        <v>45644</v>
      </c>
      <c r="C806" s="1" t="s">
        <v>847</v>
      </c>
      <c r="D806" s="1" t="s">
        <v>45</v>
      </c>
      <c r="E806" s="1" t="s">
        <v>30</v>
      </c>
      <c r="F806" s="1" t="s">
        <v>1241</v>
      </c>
      <c r="G806" s="1" t="s">
        <v>31</v>
      </c>
      <c r="H806" s="1">
        <v>2</v>
      </c>
      <c r="I806" s="1">
        <f>Table1[[#This Row],[Units_Sold]]*Table1[[#This Row],[Unit_Price]]</f>
        <v>33.78</v>
      </c>
      <c r="J806" s="1">
        <v>16.89</v>
      </c>
      <c r="K806" s="1">
        <v>5</v>
      </c>
      <c r="L806" s="1">
        <v>32.090000000000003</v>
      </c>
      <c r="M806" s="1">
        <v>11.62</v>
      </c>
      <c r="N806" s="1">
        <v>40</v>
      </c>
      <c r="O806" s="1" t="s">
        <v>19</v>
      </c>
      <c r="P806" s="1" t="s">
        <v>81</v>
      </c>
    </row>
    <row r="807" spans="1:16" x14ac:dyDescent="0.3">
      <c r="A807" s="1">
        <v>100052</v>
      </c>
      <c r="B807" s="2">
        <v>44978</v>
      </c>
      <c r="C807" s="1" t="s">
        <v>848</v>
      </c>
      <c r="D807" s="1" t="s">
        <v>45</v>
      </c>
      <c r="E807" s="1" t="s">
        <v>30</v>
      </c>
      <c r="F807" s="1" t="s">
        <v>1239</v>
      </c>
      <c r="G807" s="1" t="s">
        <v>31</v>
      </c>
      <c r="H807" s="1">
        <v>4</v>
      </c>
      <c r="I807" s="1">
        <f>Table1[[#This Row],[Units_Sold]]*Table1[[#This Row],[Unit_Price]]</f>
        <v>63.12</v>
      </c>
      <c r="J807" s="1">
        <v>15.78</v>
      </c>
      <c r="K807" s="1">
        <v>20</v>
      </c>
      <c r="L807" s="1">
        <v>50.5</v>
      </c>
      <c r="M807" s="1">
        <v>17.11</v>
      </c>
      <c r="N807" s="1">
        <v>35</v>
      </c>
      <c r="O807" s="1" t="s">
        <v>19</v>
      </c>
      <c r="P807" s="1" t="s">
        <v>43</v>
      </c>
    </row>
    <row r="808" spans="1:16" x14ac:dyDescent="0.3">
      <c r="A808" s="1">
        <v>100263</v>
      </c>
      <c r="B808" s="2">
        <v>45504</v>
      </c>
      <c r="C808" s="1" t="s">
        <v>849</v>
      </c>
      <c r="D808" s="1" t="s">
        <v>37</v>
      </c>
      <c r="E808" s="1" t="s">
        <v>17</v>
      </c>
      <c r="F808" s="1" t="s">
        <v>1239</v>
      </c>
      <c r="G808" s="1" t="s">
        <v>31</v>
      </c>
      <c r="H808" s="1">
        <v>4</v>
      </c>
      <c r="I808" s="1">
        <f>Table1[[#This Row],[Units_Sold]]*Table1[[#This Row],[Unit_Price]]</f>
        <v>281.39999999999998</v>
      </c>
      <c r="J808" s="1">
        <v>70.349999999999994</v>
      </c>
      <c r="K808" s="1">
        <v>0</v>
      </c>
      <c r="L808" s="1">
        <v>281.39999999999998</v>
      </c>
      <c r="M808" s="1">
        <v>82.79</v>
      </c>
      <c r="N808" s="1">
        <v>26</v>
      </c>
      <c r="O808" s="1" t="s">
        <v>26</v>
      </c>
      <c r="P808" s="1" t="s">
        <v>32</v>
      </c>
    </row>
    <row r="809" spans="1:16" x14ac:dyDescent="0.3">
      <c r="A809" s="1">
        <v>101092</v>
      </c>
      <c r="B809" s="2">
        <v>45889</v>
      </c>
      <c r="C809" s="1" t="s">
        <v>850</v>
      </c>
      <c r="D809" s="1" t="s">
        <v>87</v>
      </c>
      <c r="E809" s="1" t="s">
        <v>25</v>
      </c>
      <c r="F809" s="1" t="s">
        <v>1238</v>
      </c>
      <c r="G809" s="1" t="s">
        <v>18</v>
      </c>
      <c r="H809" s="1">
        <v>1</v>
      </c>
      <c r="I809" s="1">
        <f>Table1[[#This Row],[Units_Sold]]*Table1[[#This Row],[Unit_Price]]</f>
        <v>73</v>
      </c>
      <c r="J809" s="1">
        <v>73</v>
      </c>
      <c r="K809" s="1">
        <v>0</v>
      </c>
      <c r="L809" s="1">
        <v>73</v>
      </c>
      <c r="M809" s="1">
        <v>22.96</v>
      </c>
      <c r="N809" s="1">
        <v>21</v>
      </c>
      <c r="O809" s="1" t="s">
        <v>26</v>
      </c>
      <c r="P809" s="1" t="s">
        <v>32</v>
      </c>
    </row>
    <row r="810" spans="1:16" x14ac:dyDescent="0.3">
      <c r="A810" s="1">
        <v>100443</v>
      </c>
      <c r="B810" s="2">
        <v>45313</v>
      </c>
      <c r="C810" s="1" t="s">
        <v>851</v>
      </c>
      <c r="D810" s="1" t="s">
        <v>70</v>
      </c>
      <c r="E810" s="1" t="s">
        <v>25</v>
      </c>
      <c r="F810" s="1" t="s">
        <v>1237</v>
      </c>
      <c r="G810" s="1" t="s">
        <v>18</v>
      </c>
      <c r="H810" s="1">
        <v>3</v>
      </c>
      <c r="I810" s="1">
        <f>Table1[[#This Row],[Units_Sold]]*Table1[[#This Row],[Unit_Price]]</f>
        <v>395.46</v>
      </c>
      <c r="J810" s="1">
        <v>131.82</v>
      </c>
      <c r="K810" s="1">
        <v>5</v>
      </c>
      <c r="L810" s="1">
        <v>375.69</v>
      </c>
      <c r="M810" s="1">
        <v>102.64</v>
      </c>
      <c r="N810" s="1">
        <v>16</v>
      </c>
      <c r="O810" s="1" t="s">
        <v>19</v>
      </c>
      <c r="P810" s="1" t="s">
        <v>20</v>
      </c>
    </row>
    <row r="811" spans="1:16" x14ac:dyDescent="0.3">
      <c r="A811" s="1">
        <v>100971</v>
      </c>
      <c r="B811" s="2">
        <v>44953</v>
      </c>
      <c r="C811" s="1" t="s">
        <v>852</v>
      </c>
      <c r="D811" s="1" t="s">
        <v>100</v>
      </c>
      <c r="E811" s="1" t="s">
        <v>25</v>
      </c>
      <c r="F811" s="1" t="s">
        <v>1238</v>
      </c>
      <c r="G811" s="1" t="s">
        <v>64</v>
      </c>
      <c r="H811" s="1">
        <v>3</v>
      </c>
      <c r="I811" s="1">
        <f>Table1[[#This Row],[Units_Sold]]*Table1[[#This Row],[Unit_Price]]</f>
        <v>376.08</v>
      </c>
      <c r="J811" s="1">
        <v>125.36</v>
      </c>
      <c r="K811" s="1">
        <v>10</v>
      </c>
      <c r="L811" s="1">
        <v>338.47</v>
      </c>
      <c r="M811" s="1">
        <v>118.32</v>
      </c>
      <c r="N811" s="1">
        <v>31</v>
      </c>
      <c r="O811" s="1" t="s">
        <v>19</v>
      </c>
      <c r="P811" s="1" t="s">
        <v>51</v>
      </c>
    </row>
    <row r="812" spans="1:16" x14ac:dyDescent="0.3">
      <c r="A812" s="1">
        <v>100782</v>
      </c>
      <c r="B812" s="2">
        <v>45662</v>
      </c>
      <c r="C812" s="1" t="s">
        <v>853</v>
      </c>
      <c r="D812" s="1" t="s">
        <v>56</v>
      </c>
      <c r="E812" s="1" t="s">
        <v>30</v>
      </c>
      <c r="F812" s="1" t="s">
        <v>1239</v>
      </c>
      <c r="G812" s="1" t="s">
        <v>31</v>
      </c>
      <c r="H812" s="1">
        <v>1</v>
      </c>
      <c r="I812" s="1">
        <f>Table1[[#This Row],[Units_Sold]]*Table1[[#This Row],[Unit_Price]]</f>
        <v>41.95</v>
      </c>
      <c r="J812" s="1">
        <v>41.95</v>
      </c>
      <c r="K812" s="1">
        <v>5</v>
      </c>
      <c r="L812" s="1">
        <v>39.85</v>
      </c>
      <c r="M812" s="1">
        <v>11.52</v>
      </c>
      <c r="N812" s="1">
        <v>29</v>
      </c>
      <c r="O812" s="1" t="s">
        <v>19</v>
      </c>
      <c r="P812" s="1" t="s">
        <v>27</v>
      </c>
    </row>
    <row r="813" spans="1:16" x14ac:dyDescent="0.3">
      <c r="A813" s="1">
        <v>100846</v>
      </c>
      <c r="B813" s="2">
        <v>45638</v>
      </c>
      <c r="C813" s="1" t="s">
        <v>854</v>
      </c>
      <c r="D813" s="1" t="s">
        <v>73</v>
      </c>
      <c r="E813" s="1" t="s">
        <v>25</v>
      </c>
      <c r="F813" s="1" t="s">
        <v>1241</v>
      </c>
      <c r="G813" s="1" t="s">
        <v>18</v>
      </c>
      <c r="H813" s="1">
        <v>2</v>
      </c>
      <c r="I813" s="1">
        <f>Table1[[#This Row],[Units_Sold]]*Table1[[#This Row],[Unit_Price]]</f>
        <v>64.8</v>
      </c>
      <c r="J813" s="1">
        <v>32.4</v>
      </c>
      <c r="K813" s="1">
        <v>5</v>
      </c>
      <c r="L813" s="1">
        <v>61.56</v>
      </c>
      <c r="M813" s="1">
        <v>16.649999999999999</v>
      </c>
      <c r="N813" s="1">
        <v>40</v>
      </c>
      <c r="O813" s="1" t="s">
        <v>19</v>
      </c>
      <c r="P813" s="1" t="s">
        <v>27</v>
      </c>
    </row>
    <row r="814" spans="1:16" x14ac:dyDescent="0.3">
      <c r="A814" s="1">
        <v>100691</v>
      </c>
      <c r="B814" s="2">
        <v>45173</v>
      </c>
      <c r="C814" s="1" t="s">
        <v>855</v>
      </c>
      <c r="D814" s="1" t="s">
        <v>24</v>
      </c>
      <c r="E814" s="1" t="s">
        <v>25</v>
      </c>
      <c r="F814" s="1" t="s">
        <v>1241</v>
      </c>
      <c r="G814" s="1" t="s">
        <v>31</v>
      </c>
      <c r="H814" s="1">
        <v>2</v>
      </c>
      <c r="I814" s="1">
        <f>Table1[[#This Row],[Units_Sold]]*Table1[[#This Row],[Unit_Price]]</f>
        <v>210.56</v>
      </c>
      <c r="J814" s="1">
        <v>105.28</v>
      </c>
      <c r="K814" s="1">
        <v>0</v>
      </c>
      <c r="L814" s="1">
        <v>210.56</v>
      </c>
      <c r="M814" s="1">
        <v>67.63</v>
      </c>
      <c r="N814" s="1">
        <v>30</v>
      </c>
      <c r="O814" s="1" t="s">
        <v>19</v>
      </c>
      <c r="P814" s="1" t="s">
        <v>35</v>
      </c>
    </row>
    <row r="815" spans="1:16" x14ac:dyDescent="0.3">
      <c r="A815" s="1">
        <v>100304</v>
      </c>
      <c r="B815" s="2">
        <v>45900</v>
      </c>
      <c r="C815" s="1" t="s">
        <v>856</v>
      </c>
      <c r="D815" s="1" t="s">
        <v>53</v>
      </c>
      <c r="E815" s="1" t="s">
        <v>30</v>
      </c>
      <c r="F815" s="1" t="s">
        <v>1241</v>
      </c>
      <c r="G815" s="1" t="s">
        <v>31</v>
      </c>
      <c r="H815" s="1">
        <v>3</v>
      </c>
      <c r="I815" s="1">
        <f>Table1[[#This Row],[Units_Sold]]*Table1[[#This Row],[Unit_Price]]</f>
        <v>62.58</v>
      </c>
      <c r="J815" s="1">
        <v>20.86</v>
      </c>
      <c r="K815" s="1">
        <v>5</v>
      </c>
      <c r="L815" s="1">
        <v>59.45</v>
      </c>
      <c r="M815" s="1">
        <v>19.37</v>
      </c>
      <c r="N815" s="1">
        <v>26</v>
      </c>
      <c r="O815" s="1" t="s">
        <v>19</v>
      </c>
      <c r="P815" s="1" t="s">
        <v>46</v>
      </c>
    </row>
    <row r="816" spans="1:16" x14ac:dyDescent="0.3">
      <c r="A816" s="1">
        <v>100341</v>
      </c>
      <c r="B816" s="2">
        <v>44958</v>
      </c>
      <c r="C816" s="1" t="s">
        <v>857</v>
      </c>
      <c r="D816" s="1" t="s">
        <v>62</v>
      </c>
      <c r="E816" s="1" t="s">
        <v>17</v>
      </c>
      <c r="F816" s="1" t="s">
        <v>1237</v>
      </c>
      <c r="G816" s="1" t="s">
        <v>31</v>
      </c>
      <c r="H816" s="1">
        <v>5</v>
      </c>
      <c r="I816" s="1">
        <f>Table1[[#This Row],[Units_Sold]]*Table1[[#This Row],[Unit_Price]]</f>
        <v>578.9</v>
      </c>
      <c r="J816" s="1">
        <v>115.78</v>
      </c>
      <c r="K816" s="1">
        <v>0</v>
      </c>
      <c r="L816" s="1">
        <v>578.9</v>
      </c>
      <c r="M816" s="1">
        <v>137.49</v>
      </c>
      <c r="N816" s="1">
        <v>17</v>
      </c>
      <c r="O816" s="1" t="s">
        <v>26</v>
      </c>
      <c r="P816" s="1" t="s">
        <v>27</v>
      </c>
    </row>
    <row r="817" spans="1:16" x14ac:dyDescent="0.3">
      <c r="A817" s="1">
        <v>100866</v>
      </c>
      <c r="B817" s="2">
        <v>45683</v>
      </c>
      <c r="C817" s="1" t="s">
        <v>858</v>
      </c>
      <c r="D817" s="1" t="s">
        <v>45</v>
      </c>
      <c r="E817" s="1" t="s">
        <v>30</v>
      </c>
      <c r="F817" s="1" t="s">
        <v>1238</v>
      </c>
      <c r="G817" s="1" t="s">
        <v>18</v>
      </c>
      <c r="H817" s="1">
        <v>3</v>
      </c>
      <c r="I817" s="1">
        <f>Table1[[#This Row],[Units_Sold]]*Table1[[#This Row],[Unit_Price]]</f>
        <v>44.13</v>
      </c>
      <c r="J817" s="1">
        <v>14.71</v>
      </c>
      <c r="K817" s="1">
        <v>0</v>
      </c>
      <c r="L817" s="1">
        <v>44.13</v>
      </c>
      <c r="M817" s="1">
        <v>14.59</v>
      </c>
      <c r="N817" s="1">
        <v>22</v>
      </c>
      <c r="O817" s="1" t="s">
        <v>26</v>
      </c>
      <c r="P817" s="1" t="s">
        <v>35</v>
      </c>
    </row>
    <row r="818" spans="1:16" x14ac:dyDescent="0.3">
      <c r="A818" s="1">
        <v>100313</v>
      </c>
      <c r="B818" s="2">
        <v>45470</v>
      </c>
      <c r="C818" s="1" t="s">
        <v>859</v>
      </c>
      <c r="D818" s="1" t="s">
        <v>77</v>
      </c>
      <c r="E818" s="1" t="s">
        <v>30</v>
      </c>
      <c r="F818" s="1" t="s">
        <v>1237</v>
      </c>
      <c r="G818" s="1" t="s">
        <v>18</v>
      </c>
      <c r="H818" s="1">
        <v>2</v>
      </c>
      <c r="I818" s="1">
        <f>Table1[[#This Row],[Units_Sold]]*Table1[[#This Row],[Unit_Price]]</f>
        <v>86.3</v>
      </c>
      <c r="J818" s="1">
        <v>43.15</v>
      </c>
      <c r="K818" s="1">
        <v>10</v>
      </c>
      <c r="L818" s="1">
        <v>77.67</v>
      </c>
      <c r="M818" s="1">
        <v>32.090000000000003</v>
      </c>
      <c r="N818" s="1">
        <v>50</v>
      </c>
      <c r="O818" s="1" t="s">
        <v>19</v>
      </c>
      <c r="P818" s="1" t="s">
        <v>35</v>
      </c>
    </row>
    <row r="819" spans="1:16" x14ac:dyDescent="0.3">
      <c r="A819" s="1">
        <v>100149</v>
      </c>
      <c r="B819" s="2">
        <v>45244</v>
      </c>
      <c r="C819" s="1" t="s">
        <v>860</v>
      </c>
      <c r="D819" s="1" t="s">
        <v>29</v>
      </c>
      <c r="E819" s="1" t="s">
        <v>30</v>
      </c>
      <c r="F819" s="1" t="s">
        <v>1241</v>
      </c>
      <c r="G819" s="1" t="s">
        <v>48</v>
      </c>
      <c r="H819" s="1">
        <v>2</v>
      </c>
      <c r="I819" s="1">
        <f>Table1[[#This Row],[Units_Sold]]*Table1[[#This Row],[Unit_Price]]</f>
        <v>36.6</v>
      </c>
      <c r="J819" s="1">
        <v>18.3</v>
      </c>
      <c r="K819" s="1">
        <v>5</v>
      </c>
      <c r="L819" s="1">
        <v>34.770000000000003</v>
      </c>
      <c r="M819" s="1">
        <v>8.84</v>
      </c>
      <c r="N819" s="1">
        <v>38</v>
      </c>
      <c r="O819" s="1" t="s">
        <v>26</v>
      </c>
      <c r="P819" s="1" t="s">
        <v>27</v>
      </c>
    </row>
    <row r="820" spans="1:16" x14ac:dyDescent="0.3">
      <c r="A820" s="1">
        <v>100124</v>
      </c>
      <c r="B820" s="2">
        <v>45105</v>
      </c>
      <c r="C820" s="1" t="s">
        <v>861</v>
      </c>
      <c r="D820" s="1" t="s">
        <v>22</v>
      </c>
      <c r="E820" s="1" t="s">
        <v>17</v>
      </c>
      <c r="F820" s="1" t="s">
        <v>1237</v>
      </c>
      <c r="G820" s="1" t="s">
        <v>31</v>
      </c>
      <c r="H820" s="1">
        <v>1</v>
      </c>
      <c r="I820" s="1">
        <f>Table1[[#This Row],[Units_Sold]]*Table1[[#This Row],[Unit_Price]]</f>
        <v>30.15</v>
      </c>
      <c r="J820" s="1">
        <v>30.15</v>
      </c>
      <c r="K820" s="1">
        <v>10</v>
      </c>
      <c r="L820" s="1">
        <v>27.13</v>
      </c>
      <c r="M820" s="1">
        <v>7.69</v>
      </c>
      <c r="N820" s="1">
        <v>23</v>
      </c>
      <c r="O820" s="1" t="s">
        <v>19</v>
      </c>
      <c r="P820" s="1" t="s">
        <v>46</v>
      </c>
    </row>
    <row r="821" spans="1:16" x14ac:dyDescent="0.3">
      <c r="A821" s="1">
        <v>101062</v>
      </c>
      <c r="B821" s="2">
        <v>45100</v>
      </c>
      <c r="C821" s="1" t="s">
        <v>862</v>
      </c>
      <c r="D821" s="1" t="s">
        <v>87</v>
      </c>
      <c r="E821" s="1" t="s">
        <v>25</v>
      </c>
      <c r="F821" s="1" t="s">
        <v>1240</v>
      </c>
      <c r="G821" s="1" t="s">
        <v>18</v>
      </c>
      <c r="H821" s="1">
        <v>5</v>
      </c>
      <c r="I821" s="1">
        <f>Table1[[#This Row],[Units_Sold]]*Table1[[#This Row],[Unit_Price]]</f>
        <v>388.15</v>
      </c>
      <c r="J821" s="1">
        <v>77.63</v>
      </c>
      <c r="K821" s="1">
        <v>20</v>
      </c>
      <c r="L821" s="1">
        <v>310.52</v>
      </c>
      <c r="M821" s="1">
        <v>95.06</v>
      </c>
      <c r="N821" s="1">
        <v>21</v>
      </c>
      <c r="O821" s="1" t="s">
        <v>26</v>
      </c>
      <c r="P821" s="1" t="s">
        <v>43</v>
      </c>
    </row>
    <row r="822" spans="1:16" x14ac:dyDescent="0.3">
      <c r="A822" s="1">
        <v>100574</v>
      </c>
      <c r="B822" s="2">
        <v>45329</v>
      </c>
      <c r="C822" s="1" t="s">
        <v>863</v>
      </c>
      <c r="D822" s="1" t="s">
        <v>42</v>
      </c>
      <c r="E822" s="1" t="s">
        <v>25</v>
      </c>
      <c r="F822" s="1" t="s">
        <v>1237</v>
      </c>
      <c r="G822" s="1" t="s">
        <v>18</v>
      </c>
      <c r="H822" s="1">
        <v>2</v>
      </c>
      <c r="I822" s="1">
        <f>Table1[[#This Row],[Units_Sold]]*Table1[[#This Row],[Unit_Price]]</f>
        <v>339.84</v>
      </c>
      <c r="J822" s="1">
        <v>169.92</v>
      </c>
      <c r="K822" s="1">
        <v>10</v>
      </c>
      <c r="L822" s="1">
        <v>305.86</v>
      </c>
      <c r="M822" s="1">
        <v>100.22</v>
      </c>
      <c r="N822" s="1">
        <v>39</v>
      </c>
      <c r="O822" s="1" t="s">
        <v>26</v>
      </c>
      <c r="P822" s="1" t="s">
        <v>20</v>
      </c>
    </row>
    <row r="823" spans="1:16" x14ac:dyDescent="0.3">
      <c r="A823" s="1">
        <v>100697</v>
      </c>
      <c r="B823" s="2">
        <v>45171</v>
      </c>
      <c r="C823" s="1" t="s">
        <v>864</v>
      </c>
      <c r="D823" s="1" t="s">
        <v>45</v>
      </c>
      <c r="E823" s="1" t="s">
        <v>30</v>
      </c>
      <c r="F823" s="1" t="s">
        <v>1238</v>
      </c>
      <c r="G823" s="1" t="s">
        <v>64</v>
      </c>
      <c r="H823" s="1">
        <v>2</v>
      </c>
      <c r="I823" s="1">
        <f>Table1[[#This Row],[Units_Sold]]*Table1[[#This Row],[Unit_Price]]</f>
        <v>26.76</v>
      </c>
      <c r="J823" s="1">
        <v>13.38</v>
      </c>
      <c r="K823" s="1">
        <v>10</v>
      </c>
      <c r="L823" s="1">
        <v>24.08</v>
      </c>
      <c r="M823" s="1">
        <v>6.74</v>
      </c>
      <c r="N823" s="1">
        <v>34</v>
      </c>
      <c r="O823" s="1" t="s">
        <v>19</v>
      </c>
      <c r="P823" s="1" t="s">
        <v>51</v>
      </c>
    </row>
    <row r="824" spans="1:16" x14ac:dyDescent="0.3">
      <c r="A824" s="1">
        <v>100664</v>
      </c>
      <c r="B824" s="2">
        <v>45574</v>
      </c>
      <c r="C824" s="1" t="s">
        <v>865</v>
      </c>
      <c r="D824" s="1" t="s">
        <v>24</v>
      </c>
      <c r="E824" s="1" t="s">
        <v>25</v>
      </c>
      <c r="F824" s="1" t="s">
        <v>1239</v>
      </c>
      <c r="G824" s="1" t="s">
        <v>18</v>
      </c>
      <c r="H824" s="1">
        <v>1</v>
      </c>
      <c r="I824" s="1">
        <f>Table1[[#This Row],[Units_Sold]]*Table1[[#This Row],[Unit_Price]]</f>
        <v>102.55</v>
      </c>
      <c r="J824" s="1">
        <v>102.55</v>
      </c>
      <c r="K824" s="1">
        <v>5</v>
      </c>
      <c r="L824" s="1">
        <v>97.42</v>
      </c>
      <c r="M824" s="1">
        <v>24.8</v>
      </c>
      <c r="N824" s="1">
        <v>35</v>
      </c>
      <c r="O824" s="1" t="s">
        <v>19</v>
      </c>
      <c r="P824" s="1" t="s">
        <v>20</v>
      </c>
    </row>
    <row r="825" spans="1:16" x14ac:dyDescent="0.3">
      <c r="A825" s="1">
        <v>100050</v>
      </c>
      <c r="B825" s="2">
        <v>45393</v>
      </c>
      <c r="C825" s="1" t="s">
        <v>866</v>
      </c>
      <c r="D825" s="1" t="s">
        <v>34</v>
      </c>
      <c r="E825" s="1" t="s">
        <v>30</v>
      </c>
      <c r="F825" s="1" t="s">
        <v>1237</v>
      </c>
      <c r="G825" s="1" t="s">
        <v>31</v>
      </c>
      <c r="H825" s="1">
        <v>3</v>
      </c>
      <c r="I825" s="1">
        <f>Table1[[#This Row],[Units_Sold]]*Table1[[#This Row],[Unit_Price]]</f>
        <v>173.67000000000002</v>
      </c>
      <c r="J825" s="1">
        <v>57.89</v>
      </c>
      <c r="K825" s="1">
        <v>0</v>
      </c>
      <c r="L825" s="1">
        <v>173.67</v>
      </c>
      <c r="M825" s="1">
        <v>58.9</v>
      </c>
      <c r="N825" s="1">
        <v>33</v>
      </c>
      <c r="O825" s="1" t="s">
        <v>26</v>
      </c>
      <c r="P825" s="1" t="s">
        <v>32</v>
      </c>
    </row>
    <row r="826" spans="1:16" x14ac:dyDescent="0.3">
      <c r="A826" s="1">
        <v>100726</v>
      </c>
      <c r="B826" s="2">
        <v>45348</v>
      </c>
      <c r="C826" s="1" t="s">
        <v>867</v>
      </c>
      <c r="D826" s="1" t="s">
        <v>66</v>
      </c>
      <c r="E826" s="1" t="s">
        <v>17</v>
      </c>
      <c r="F826" s="1" t="s">
        <v>1241</v>
      </c>
      <c r="G826" s="1" t="s">
        <v>18</v>
      </c>
      <c r="H826" s="1">
        <v>3</v>
      </c>
      <c r="I826" s="1">
        <f>Table1[[#This Row],[Units_Sold]]*Table1[[#This Row],[Unit_Price]]</f>
        <v>381.42</v>
      </c>
      <c r="J826" s="1">
        <v>127.14</v>
      </c>
      <c r="K826" s="1">
        <v>0</v>
      </c>
      <c r="L826" s="1">
        <v>381.42</v>
      </c>
      <c r="M826" s="1">
        <v>87.74</v>
      </c>
      <c r="N826" s="1">
        <v>29</v>
      </c>
      <c r="O826" s="1" t="s">
        <v>26</v>
      </c>
      <c r="P826" s="1" t="s">
        <v>51</v>
      </c>
    </row>
    <row r="827" spans="1:16" x14ac:dyDescent="0.3">
      <c r="A827" s="1">
        <v>100799</v>
      </c>
      <c r="B827" s="2">
        <v>45143</v>
      </c>
      <c r="C827" s="1" t="s">
        <v>868</v>
      </c>
      <c r="D827" s="1" t="s">
        <v>70</v>
      </c>
      <c r="E827" s="1" t="s">
        <v>25</v>
      </c>
      <c r="F827" s="1" t="s">
        <v>1241</v>
      </c>
      <c r="G827" s="1" t="s">
        <v>31</v>
      </c>
      <c r="H827" s="1">
        <v>3</v>
      </c>
      <c r="I827" s="1">
        <f>Table1[[#This Row],[Units_Sold]]*Table1[[#This Row],[Unit_Price]]</f>
        <v>428.52</v>
      </c>
      <c r="J827" s="1">
        <v>142.84</v>
      </c>
      <c r="K827" s="1">
        <v>0</v>
      </c>
      <c r="L827" s="1">
        <v>428.52</v>
      </c>
      <c r="M827" s="1">
        <v>125.72</v>
      </c>
      <c r="N827" s="1">
        <v>25</v>
      </c>
      <c r="O827" s="1" t="s">
        <v>19</v>
      </c>
      <c r="P827" s="1" t="s">
        <v>32</v>
      </c>
    </row>
    <row r="828" spans="1:16" x14ac:dyDescent="0.3">
      <c r="A828" s="1">
        <v>100353</v>
      </c>
      <c r="B828" s="2">
        <v>45019</v>
      </c>
      <c r="C828" s="1" t="s">
        <v>869</v>
      </c>
      <c r="D828" s="1" t="s">
        <v>70</v>
      </c>
      <c r="E828" s="1" t="s">
        <v>25</v>
      </c>
      <c r="F828" s="1" t="s">
        <v>1241</v>
      </c>
      <c r="G828" s="1" t="s">
        <v>31</v>
      </c>
      <c r="H828" s="1">
        <v>3</v>
      </c>
      <c r="I828" s="1">
        <f>Table1[[#This Row],[Units_Sold]]*Table1[[#This Row],[Unit_Price]]</f>
        <v>444.18</v>
      </c>
      <c r="J828" s="1">
        <v>148.06</v>
      </c>
      <c r="K828" s="1">
        <v>20</v>
      </c>
      <c r="L828" s="1">
        <v>355.34</v>
      </c>
      <c r="M828" s="1">
        <v>76.69</v>
      </c>
      <c r="N828" s="1">
        <v>23</v>
      </c>
      <c r="O828" s="1" t="s">
        <v>26</v>
      </c>
      <c r="P828" s="1" t="s">
        <v>51</v>
      </c>
    </row>
    <row r="829" spans="1:16" x14ac:dyDescent="0.3">
      <c r="A829" s="1">
        <v>101152</v>
      </c>
      <c r="B829" s="2">
        <v>45287</v>
      </c>
      <c r="C829" s="1" t="s">
        <v>870</v>
      </c>
      <c r="D829" s="1" t="s">
        <v>22</v>
      </c>
      <c r="E829" s="1" t="s">
        <v>17</v>
      </c>
      <c r="F829" s="1" t="s">
        <v>1237</v>
      </c>
      <c r="G829" s="1" t="s">
        <v>18</v>
      </c>
      <c r="H829" s="1">
        <v>3</v>
      </c>
      <c r="I829" s="1">
        <f>Table1[[#This Row],[Units_Sold]]*Table1[[#This Row],[Unit_Price]]</f>
        <v>72.81</v>
      </c>
      <c r="J829" s="1">
        <v>24.27</v>
      </c>
      <c r="K829" s="1">
        <v>10</v>
      </c>
      <c r="L829" s="1">
        <v>65.53</v>
      </c>
      <c r="M829" s="1">
        <v>12.71</v>
      </c>
      <c r="N829" s="1">
        <v>23</v>
      </c>
      <c r="O829" s="1" t="s">
        <v>26</v>
      </c>
      <c r="P829" s="1" t="s">
        <v>32</v>
      </c>
    </row>
    <row r="830" spans="1:16" x14ac:dyDescent="0.3">
      <c r="A830" s="1">
        <v>100142</v>
      </c>
      <c r="B830" s="2">
        <v>45809</v>
      </c>
      <c r="C830" s="1" t="s">
        <v>871</v>
      </c>
      <c r="D830" s="1" t="s">
        <v>70</v>
      </c>
      <c r="E830" s="1" t="s">
        <v>25</v>
      </c>
      <c r="F830" s="1" t="s">
        <v>1238</v>
      </c>
      <c r="G830" s="1" t="s">
        <v>18</v>
      </c>
      <c r="H830" s="1">
        <v>3</v>
      </c>
      <c r="I830" s="1">
        <f>Table1[[#This Row],[Units_Sold]]*Table1[[#This Row],[Unit_Price]]</f>
        <v>395.13</v>
      </c>
      <c r="J830" s="1">
        <v>131.71</v>
      </c>
      <c r="K830" s="1">
        <v>5</v>
      </c>
      <c r="L830" s="1">
        <v>375.37</v>
      </c>
      <c r="M830" s="1">
        <v>97.63</v>
      </c>
      <c r="N830" s="1">
        <v>22</v>
      </c>
      <c r="O830" s="1" t="s">
        <v>26</v>
      </c>
      <c r="P830" s="1" t="s">
        <v>32</v>
      </c>
    </row>
    <row r="831" spans="1:16" x14ac:dyDescent="0.3">
      <c r="A831" s="1">
        <v>100470</v>
      </c>
      <c r="B831" s="2">
        <v>45866</v>
      </c>
      <c r="C831" s="1" t="s">
        <v>872</v>
      </c>
      <c r="D831" s="1" t="s">
        <v>29</v>
      </c>
      <c r="E831" s="1" t="s">
        <v>30</v>
      </c>
      <c r="F831" s="1" t="s">
        <v>1241</v>
      </c>
      <c r="G831" s="1" t="s">
        <v>31</v>
      </c>
      <c r="H831" s="1">
        <v>3</v>
      </c>
      <c r="I831" s="1">
        <f>Table1[[#This Row],[Units_Sold]]*Table1[[#This Row],[Unit_Price]]</f>
        <v>54.42</v>
      </c>
      <c r="J831" s="1">
        <v>18.14</v>
      </c>
      <c r="K831" s="1">
        <v>0</v>
      </c>
      <c r="L831" s="1">
        <v>54.42</v>
      </c>
      <c r="M831" s="1">
        <v>11.64</v>
      </c>
      <c r="N831" s="1">
        <v>33</v>
      </c>
      <c r="O831" s="1" t="s">
        <v>26</v>
      </c>
      <c r="P831" s="1" t="s">
        <v>20</v>
      </c>
    </row>
    <row r="832" spans="1:16" x14ac:dyDescent="0.3">
      <c r="A832" s="1">
        <v>100653</v>
      </c>
      <c r="B832" s="2">
        <v>45620</v>
      </c>
      <c r="C832" s="1" t="s">
        <v>873</v>
      </c>
      <c r="D832" s="1" t="s">
        <v>42</v>
      </c>
      <c r="E832" s="1" t="s">
        <v>25</v>
      </c>
      <c r="F832" s="1" t="s">
        <v>1241</v>
      </c>
      <c r="G832" s="1" t="s">
        <v>18</v>
      </c>
      <c r="H832" s="1">
        <v>3</v>
      </c>
      <c r="I832" s="1">
        <f>Table1[[#This Row],[Units_Sold]]*Table1[[#This Row],[Unit_Price]]</f>
        <v>499.47</v>
      </c>
      <c r="J832" s="1">
        <v>166.49</v>
      </c>
      <c r="K832" s="1">
        <v>5</v>
      </c>
      <c r="L832" s="1">
        <v>474.5</v>
      </c>
      <c r="M832" s="1">
        <v>134.59</v>
      </c>
      <c r="N832" s="1">
        <v>28</v>
      </c>
      <c r="O832" s="1" t="s">
        <v>26</v>
      </c>
      <c r="P832" s="1" t="s">
        <v>32</v>
      </c>
    </row>
    <row r="833" spans="1:16" x14ac:dyDescent="0.3">
      <c r="A833" s="1">
        <v>100399</v>
      </c>
      <c r="B833" s="2">
        <v>45277</v>
      </c>
      <c r="C833" s="1" t="s">
        <v>874</v>
      </c>
      <c r="D833" s="1" t="s">
        <v>34</v>
      </c>
      <c r="E833" s="1" t="s">
        <v>30</v>
      </c>
      <c r="F833" s="1" t="s">
        <v>1239</v>
      </c>
      <c r="G833" s="1" t="s">
        <v>64</v>
      </c>
      <c r="H833" s="1">
        <v>3</v>
      </c>
      <c r="I833" s="1">
        <f>Table1[[#This Row],[Units_Sold]]*Table1[[#This Row],[Unit_Price]]</f>
        <v>179.39999999999998</v>
      </c>
      <c r="J833" s="1">
        <v>59.8</v>
      </c>
      <c r="K833" s="1">
        <v>0</v>
      </c>
      <c r="L833" s="1">
        <v>179.4</v>
      </c>
      <c r="M833" s="1">
        <v>68.19</v>
      </c>
      <c r="N833" s="1">
        <v>35</v>
      </c>
      <c r="O833" s="1" t="s">
        <v>26</v>
      </c>
      <c r="P833" s="1" t="s">
        <v>35</v>
      </c>
    </row>
    <row r="834" spans="1:16" x14ac:dyDescent="0.3">
      <c r="A834" s="1">
        <v>101153</v>
      </c>
      <c r="B834" s="2">
        <v>45447</v>
      </c>
      <c r="C834" s="1" t="s">
        <v>875</v>
      </c>
      <c r="D834" s="1" t="s">
        <v>66</v>
      </c>
      <c r="E834" s="1" t="s">
        <v>17</v>
      </c>
      <c r="F834" s="1" t="s">
        <v>1241</v>
      </c>
      <c r="G834" s="1" t="s">
        <v>18</v>
      </c>
      <c r="H834" s="1">
        <v>1</v>
      </c>
      <c r="I834" s="1">
        <f>Table1[[#This Row],[Units_Sold]]*Table1[[#This Row],[Unit_Price]]</f>
        <v>111.64</v>
      </c>
      <c r="J834" s="1">
        <v>111.64</v>
      </c>
      <c r="K834" s="1">
        <v>10</v>
      </c>
      <c r="L834" s="1">
        <v>100.48</v>
      </c>
      <c r="M834" s="1">
        <v>23.81</v>
      </c>
      <c r="N834" s="1">
        <v>27</v>
      </c>
      <c r="O834" s="1" t="s">
        <v>19</v>
      </c>
      <c r="P834" s="1" t="s">
        <v>32</v>
      </c>
    </row>
    <row r="835" spans="1:16" x14ac:dyDescent="0.3">
      <c r="A835" s="1">
        <v>100937</v>
      </c>
      <c r="B835" s="2">
        <v>45883</v>
      </c>
      <c r="C835" s="1" t="s">
        <v>876</v>
      </c>
      <c r="D835" s="1" t="s">
        <v>45</v>
      </c>
      <c r="E835" s="1" t="s">
        <v>30</v>
      </c>
      <c r="F835" s="1" t="s">
        <v>1238</v>
      </c>
      <c r="G835" s="1" t="s">
        <v>18</v>
      </c>
      <c r="H835" s="1">
        <v>3</v>
      </c>
      <c r="I835" s="1">
        <f>Table1[[#This Row],[Units_Sold]]*Table1[[#This Row],[Unit_Price]]</f>
        <v>43.8</v>
      </c>
      <c r="J835" s="1">
        <v>14.6</v>
      </c>
      <c r="K835" s="1">
        <v>5</v>
      </c>
      <c r="L835" s="1">
        <v>41.61</v>
      </c>
      <c r="M835" s="1">
        <v>12.82</v>
      </c>
      <c r="N835" s="1">
        <v>39</v>
      </c>
      <c r="O835" s="1" t="s">
        <v>26</v>
      </c>
      <c r="P835" s="1" t="s">
        <v>43</v>
      </c>
    </row>
    <row r="836" spans="1:16" x14ac:dyDescent="0.3">
      <c r="A836" s="1">
        <v>100320</v>
      </c>
      <c r="B836" s="2">
        <v>45360</v>
      </c>
      <c r="C836" s="1" t="s">
        <v>877</v>
      </c>
      <c r="D836" s="1" t="s">
        <v>62</v>
      </c>
      <c r="E836" s="1" t="s">
        <v>17</v>
      </c>
      <c r="F836" s="1" t="s">
        <v>1238</v>
      </c>
      <c r="G836" s="1" t="s">
        <v>31</v>
      </c>
      <c r="H836" s="1">
        <v>3</v>
      </c>
      <c r="I836" s="1">
        <f>Table1[[#This Row],[Units_Sold]]*Table1[[#This Row],[Unit_Price]]</f>
        <v>404.40000000000003</v>
      </c>
      <c r="J836" s="1">
        <v>134.80000000000001</v>
      </c>
      <c r="K836" s="1">
        <v>10</v>
      </c>
      <c r="L836" s="1">
        <v>363.96</v>
      </c>
      <c r="M836" s="1">
        <v>106.3</v>
      </c>
      <c r="N836" s="1">
        <v>25</v>
      </c>
      <c r="O836" s="1" t="s">
        <v>26</v>
      </c>
      <c r="P836" s="1" t="s">
        <v>20</v>
      </c>
    </row>
    <row r="837" spans="1:16" x14ac:dyDescent="0.3">
      <c r="A837" s="1">
        <v>100019</v>
      </c>
      <c r="B837" s="2">
        <v>44996</v>
      </c>
      <c r="C837" s="1" t="s">
        <v>878</v>
      </c>
      <c r="D837" s="1" t="s">
        <v>70</v>
      </c>
      <c r="E837" s="1" t="s">
        <v>25</v>
      </c>
      <c r="F837" s="1" t="s">
        <v>1241</v>
      </c>
      <c r="G837" s="1" t="s">
        <v>18</v>
      </c>
      <c r="H837" s="1">
        <v>2</v>
      </c>
      <c r="I837" s="1">
        <f>Table1[[#This Row],[Units_Sold]]*Table1[[#This Row],[Unit_Price]]</f>
        <v>308.3</v>
      </c>
      <c r="J837" s="1">
        <v>154.15</v>
      </c>
      <c r="K837" s="1">
        <v>0</v>
      </c>
      <c r="L837" s="1">
        <v>308.3</v>
      </c>
      <c r="M837" s="1">
        <v>99.47</v>
      </c>
      <c r="N837" s="1">
        <v>28</v>
      </c>
      <c r="O837" s="1" t="s">
        <v>19</v>
      </c>
      <c r="P837" s="1" t="s">
        <v>51</v>
      </c>
    </row>
    <row r="838" spans="1:16" x14ac:dyDescent="0.3">
      <c r="A838" s="1">
        <v>100684</v>
      </c>
      <c r="B838" s="2">
        <v>45526</v>
      </c>
      <c r="C838" s="1" t="s">
        <v>879</v>
      </c>
      <c r="D838" s="1" t="s">
        <v>53</v>
      </c>
      <c r="E838" s="1" t="s">
        <v>30</v>
      </c>
      <c r="F838" s="1" t="s">
        <v>1238</v>
      </c>
      <c r="G838" s="1" t="s">
        <v>18</v>
      </c>
      <c r="H838" s="1">
        <v>3</v>
      </c>
      <c r="I838" s="1">
        <f>Table1[[#This Row],[Units_Sold]]*Table1[[#This Row],[Unit_Price]]</f>
        <v>59.97</v>
      </c>
      <c r="J838" s="1">
        <v>19.989999999999998</v>
      </c>
      <c r="K838" s="1">
        <v>10</v>
      </c>
      <c r="L838" s="1">
        <v>53.97</v>
      </c>
      <c r="M838" s="1">
        <v>20.91</v>
      </c>
      <c r="N838" s="1">
        <v>28</v>
      </c>
      <c r="O838" s="1" t="s">
        <v>19</v>
      </c>
      <c r="P838" s="1" t="s">
        <v>35</v>
      </c>
    </row>
    <row r="839" spans="1:16" x14ac:dyDescent="0.3">
      <c r="A839" s="1">
        <v>100035</v>
      </c>
      <c r="B839" s="2">
        <v>44930</v>
      </c>
      <c r="C839" s="1" t="s">
        <v>880</v>
      </c>
      <c r="D839" s="1" t="s">
        <v>66</v>
      </c>
      <c r="E839" s="1" t="s">
        <v>17</v>
      </c>
      <c r="F839" s="1" t="s">
        <v>1237</v>
      </c>
      <c r="G839" s="1" t="s">
        <v>18</v>
      </c>
      <c r="H839" s="1">
        <v>5</v>
      </c>
      <c r="I839" s="1">
        <f>Table1[[#This Row],[Units_Sold]]*Table1[[#This Row],[Unit_Price]]</f>
        <v>635.54999999999995</v>
      </c>
      <c r="J839" s="1">
        <v>127.11</v>
      </c>
      <c r="K839" s="1">
        <v>0</v>
      </c>
      <c r="L839" s="1">
        <v>635.54999999999995</v>
      </c>
      <c r="M839" s="1">
        <v>160.93</v>
      </c>
      <c r="N839" s="1">
        <v>36</v>
      </c>
      <c r="O839" s="1" t="s">
        <v>19</v>
      </c>
      <c r="P839" s="1" t="s">
        <v>32</v>
      </c>
    </row>
    <row r="840" spans="1:16" x14ac:dyDescent="0.3">
      <c r="A840" s="1">
        <v>100824</v>
      </c>
      <c r="B840" s="2">
        <v>45774</v>
      </c>
      <c r="C840" s="1" t="s">
        <v>881</v>
      </c>
      <c r="D840" s="1" t="s">
        <v>56</v>
      </c>
      <c r="E840" s="1" t="s">
        <v>30</v>
      </c>
      <c r="F840" s="1" t="s">
        <v>1241</v>
      </c>
      <c r="G840" s="1" t="s">
        <v>18</v>
      </c>
      <c r="H840" s="1">
        <v>3</v>
      </c>
      <c r="I840" s="1">
        <f>Table1[[#This Row],[Units_Sold]]*Table1[[#This Row],[Unit_Price]]</f>
        <v>143.25</v>
      </c>
      <c r="J840" s="1">
        <v>47.75</v>
      </c>
      <c r="K840" s="1">
        <v>10</v>
      </c>
      <c r="L840" s="1">
        <v>128.93</v>
      </c>
      <c r="M840" s="1">
        <v>47.16</v>
      </c>
      <c r="N840" s="1">
        <v>33</v>
      </c>
      <c r="O840" s="1" t="s">
        <v>19</v>
      </c>
      <c r="P840" s="1" t="s">
        <v>27</v>
      </c>
    </row>
    <row r="841" spans="1:16" x14ac:dyDescent="0.3">
      <c r="A841" s="1">
        <v>100505</v>
      </c>
      <c r="B841" s="2">
        <v>45441</v>
      </c>
      <c r="C841" s="1" t="s">
        <v>882</v>
      </c>
      <c r="D841" s="1" t="s">
        <v>59</v>
      </c>
      <c r="E841" s="1" t="s">
        <v>17</v>
      </c>
      <c r="F841" s="1" t="s">
        <v>1237</v>
      </c>
      <c r="G841" s="1" t="s">
        <v>18</v>
      </c>
      <c r="H841" s="1">
        <v>2</v>
      </c>
      <c r="I841" s="1">
        <f>Table1[[#This Row],[Units_Sold]]*Table1[[#This Row],[Unit_Price]]</f>
        <v>66.38</v>
      </c>
      <c r="J841" s="1">
        <v>33.19</v>
      </c>
      <c r="K841" s="1">
        <v>5</v>
      </c>
      <c r="L841" s="1">
        <v>63.06</v>
      </c>
      <c r="M841" s="1">
        <v>19.12</v>
      </c>
      <c r="N841" s="1">
        <v>38</v>
      </c>
      <c r="O841" s="1" t="s">
        <v>19</v>
      </c>
      <c r="P841" s="1" t="s">
        <v>46</v>
      </c>
    </row>
    <row r="842" spans="1:16" x14ac:dyDescent="0.3">
      <c r="A842" s="1">
        <v>100827</v>
      </c>
      <c r="B842" s="2">
        <v>45770</v>
      </c>
      <c r="C842" s="1" t="s">
        <v>883</v>
      </c>
      <c r="D842" s="1" t="s">
        <v>45</v>
      </c>
      <c r="E842" s="1" t="s">
        <v>30</v>
      </c>
      <c r="F842" s="1" t="s">
        <v>1241</v>
      </c>
      <c r="G842" s="1" t="s">
        <v>31</v>
      </c>
      <c r="H842" s="1">
        <v>4</v>
      </c>
      <c r="I842" s="1">
        <f>Table1[[#This Row],[Units_Sold]]*Table1[[#This Row],[Unit_Price]]</f>
        <v>48</v>
      </c>
      <c r="J842" s="1">
        <v>12</v>
      </c>
      <c r="K842" s="1">
        <v>10</v>
      </c>
      <c r="L842" s="1">
        <v>43.2</v>
      </c>
      <c r="M842" s="1">
        <v>13.2</v>
      </c>
      <c r="N842" s="1">
        <v>16</v>
      </c>
      <c r="O842" s="1" t="s">
        <v>19</v>
      </c>
      <c r="P842" s="1" t="s">
        <v>43</v>
      </c>
    </row>
    <row r="843" spans="1:16" x14ac:dyDescent="0.3">
      <c r="A843" s="1">
        <v>101070</v>
      </c>
      <c r="B843" s="2">
        <v>45297</v>
      </c>
      <c r="C843" s="1" t="s">
        <v>884</v>
      </c>
      <c r="D843" s="1" t="s">
        <v>39</v>
      </c>
      <c r="E843" s="1" t="s">
        <v>25</v>
      </c>
      <c r="F843" s="1" t="s">
        <v>1239</v>
      </c>
      <c r="G843" s="1" t="s">
        <v>18</v>
      </c>
      <c r="H843" s="1">
        <v>5</v>
      </c>
      <c r="I843" s="1">
        <f>Table1[[#This Row],[Units_Sold]]*Table1[[#This Row],[Unit_Price]]</f>
        <v>928.40000000000009</v>
      </c>
      <c r="J843" s="1">
        <v>185.68</v>
      </c>
      <c r="K843" s="1">
        <v>20</v>
      </c>
      <c r="L843" s="1">
        <v>742.72</v>
      </c>
      <c r="M843" s="1">
        <v>207.01</v>
      </c>
      <c r="N843" s="1">
        <v>24</v>
      </c>
      <c r="O843" s="1" t="s">
        <v>26</v>
      </c>
      <c r="P843" s="1" t="s">
        <v>35</v>
      </c>
    </row>
    <row r="844" spans="1:16" x14ac:dyDescent="0.3">
      <c r="A844" s="1">
        <v>100407</v>
      </c>
      <c r="B844" s="2">
        <v>45716</v>
      </c>
      <c r="C844" s="1" t="s">
        <v>885</v>
      </c>
      <c r="D844" s="1" t="s">
        <v>45</v>
      </c>
      <c r="E844" s="1" t="s">
        <v>30</v>
      </c>
      <c r="F844" s="1" t="s">
        <v>1237</v>
      </c>
      <c r="G844" s="1" t="s">
        <v>18</v>
      </c>
      <c r="H844" s="1">
        <v>3</v>
      </c>
      <c r="I844" s="1">
        <f>Table1[[#This Row],[Units_Sold]]*Table1[[#This Row],[Unit_Price]]</f>
        <v>41.43</v>
      </c>
      <c r="J844" s="1">
        <v>13.81</v>
      </c>
      <c r="K844" s="1">
        <v>0</v>
      </c>
      <c r="L844" s="1">
        <v>41.43</v>
      </c>
      <c r="M844" s="1">
        <v>15.12</v>
      </c>
      <c r="N844" s="1">
        <v>39</v>
      </c>
      <c r="O844" s="1" t="s">
        <v>26</v>
      </c>
      <c r="P844" s="1" t="s">
        <v>81</v>
      </c>
    </row>
    <row r="845" spans="1:16" x14ac:dyDescent="0.3">
      <c r="A845" s="1">
        <v>100817</v>
      </c>
      <c r="B845" s="2">
        <v>45336</v>
      </c>
      <c r="C845" s="1" t="s">
        <v>886</v>
      </c>
      <c r="D845" s="1" t="s">
        <v>53</v>
      </c>
      <c r="E845" s="1" t="s">
        <v>30</v>
      </c>
      <c r="F845" s="1" t="s">
        <v>1237</v>
      </c>
      <c r="G845" s="1" t="s">
        <v>64</v>
      </c>
      <c r="H845" s="1">
        <v>2</v>
      </c>
      <c r="I845" s="1">
        <f>Table1[[#This Row],[Units_Sold]]*Table1[[#This Row],[Unit_Price]]</f>
        <v>44.12</v>
      </c>
      <c r="J845" s="1">
        <v>22.06</v>
      </c>
      <c r="K845" s="1">
        <v>0</v>
      </c>
      <c r="L845" s="1">
        <v>44.12</v>
      </c>
      <c r="M845" s="1">
        <v>9.18</v>
      </c>
      <c r="N845" s="1">
        <v>25</v>
      </c>
      <c r="O845" s="1" t="s">
        <v>19</v>
      </c>
      <c r="P845" s="1" t="s">
        <v>46</v>
      </c>
    </row>
    <row r="846" spans="1:16" x14ac:dyDescent="0.3">
      <c r="A846" s="1">
        <v>100537</v>
      </c>
      <c r="B846" s="2">
        <v>45522</v>
      </c>
      <c r="C846" s="1" t="s">
        <v>887</v>
      </c>
      <c r="D846" s="1" t="s">
        <v>53</v>
      </c>
      <c r="E846" s="1" t="s">
        <v>30</v>
      </c>
      <c r="F846" s="1" t="s">
        <v>1241</v>
      </c>
      <c r="G846" s="1" t="s">
        <v>31</v>
      </c>
      <c r="H846" s="1">
        <v>3</v>
      </c>
      <c r="I846" s="1">
        <f>Table1[[#This Row],[Units_Sold]]*Table1[[#This Row],[Unit_Price]]</f>
        <v>64.62</v>
      </c>
      <c r="J846" s="1">
        <v>21.54</v>
      </c>
      <c r="K846" s="1">
        <v>0</v>
      </c>
      <c r="L846" s="1">
        <v>64.62</v>
      </c>
      <c r="M846" s="1">
        <v>17.09</v>
      </c>
      <c r="N846" s="1">
        <v>24</v>
      </c>
      <c r="O846" s="1" t="s">
        <v>26</v>
      </c>
      <c r="P846" s="1" t="s">
        <v>46</v>
      </c>
    </row>
    <row r="847" spans="1:16" x14ac:dyDescent="0.3">
      <c r="A847" s="1">
        <v>100758</v>
      </c>
      <c r="B847" s="2">
        <v>45370</v>
      </c>
      <c r="C847" s="1" t="s">
        <v>888</v>
      </c>
      <c r="D847" s="1" t="s">
        <v>45</v>
      </c>
      <c r="E847" s="1" t="s">
        <v>30</v>
      </c>
      <c r="F847" s="1" t="s">
        <v>1238</v>
      </c>
      <c r="G847" s="1" t="s">
        <v>18</v>
      </c>
      <c r="H847" s="1">
        <v>3</v>
      </c>
      <c r="I847" s="1">
        <f>Table1[[#This Row],[Units_Sold]]*Table1[[#This Row],[Unit_Price]]</f>
        <v>45.839999999999996</v>
      </c>
      <c r="J847" s="1">
        <v>15.28</v>
      </c>
      <c r="K847" s="1">
        <v>5</v>
      </c>
      <c r="L847" s="1">
        <v>43.55</v>
      </c>
      <c r="M847" s="1">
        <v>12.72</v>
      </c>
      <c r="N847" s="1">
        <v>41</v>
      </c>
      <c r="O847" s="1" t="s">
        <v>26</v>
      </c>
      <c r="P847" s="1" t="s">
        <v>35</v>
      </c>
    </row>
    <row r="848" spans="1:16" x14ac:dyDescent="0.3">
      <c r="A848" s="1">
        <v>101068</v>
      </c>
      <c r="B848" s="2">
        <v>45543</v>
      </c>
      <c r="C848" s="1" t="s">
        <v>889</v>
      </c>
      <c r="D848" s="1" t="s">
        <v>66</v>
      </c>
      <c r="E848" s="1" t="s">
        <v>17</v>
      </c>
      <c r="F848" s="1" t="s">
        <v>1240</v>
      </c>
      <c r="G848" s="1" t="s">
        <v>64</v>
      </c>
      <c r="H848" s="1">
        <v>3</v>
      </c>
      <c r="I848" s="1">
        <f>Table1[[#This Row],[Units_Sold]]*Table1[[#This Row],[Unit_Price]]</f>
        <v>337.71</v>
      </c>
      <c r="J848" s="1">
        <v>112.57</v>
      </c>
      <c r="K848" s="1">
        <v>10</v>
      </c>
      <c r="L848" s="1">
        <v>303.94</v>
      </c>
      <c r="M848" s="1">
        <v>119.73</v>
      </c>
      <c r="N848" s="1">
        <v>16</v>
      </c>
      <c r="O848" s="1" t="s">
        <v>26</v>
      </c>
      <c r="P848" s="1" t="s">
        <v>46</v>
      </c>
    </row>
    <row r="849" spans="1:16" x14ac:dyDescent="0.3">
      <c r="A849" s="1">
        <v>100892</v>
      </c>
      <c r="B849" s="2">
        <v>45120</v>
      </c>
      <c r="C849" s="1" t="s">
        <v>890</v>
      </c>
      <c r="D849" s="1" t="s">
        <v>53</v>
      </c>
      <c r="E849" s="1" t="s">
        <v>30</v>
      </c>
      <c r="F849" s="1" t="s">
        <v>1240</v>
      </c>
      <c r="G849" s="1" t="s">
        <v>31</v>
      </c>
      <c r="H849" s="1">
        <v>1</v>
      </c>
      <c r="I849" s="1">
        <f>Table1[[#This Row],[Units_Sold]]*Table1[[#This Row],[Unit_Price]]</f>
        <v>23.81</v>
      </c>
      <c r="J849" s="1">
        <v>23.81</v>
      </c>
      <c r="K849" s="1">
        <v>0</v>
      </c>
      <c r="L849" s="1">
        <v>23.81</v>
      </c>
      <c r="M849" s="1">
        <v>9.19</v>
      </c>
      <c r="N849" s="1">
        <v>40</v>
      </c>
      <c r="O849" s="1" t="s">
        <v>26</v>
      </c>
      <c r="P849" s="1" t="s">
        <v>43</v>
      </c>
    </row>
    <row r="850" spans="1:16" x14ac:dyDescent="0.3">
      <c r="A850" s="1">
        <v>100038</v>
      </c>
      <c r="B850" s="2">
        <v>45812</v>
      </c>
      <c r="C850" s="1" t="s">
        <v>891</v>
      </c>
      <c r="D850" s="1" t="s">
        <v>42</v>
      </c>
      <c r="E850" s="1" t="s">
        <v>25</v>
      </c>
      <c r="F850" s="1" t="s">
        <v>1237</v>
      </c>
      <c r="G850" s="1" t="s">
        <v>48</v>
      </c>
      <c r="H850" s="1">
        <v>5</v>
      </c>
      <c r="I850" s="1">
        <f>Table1[[#This Row],[Units_Sold]]*Table1[[#This Row],[Unit_Price]]</f>
        <v>819.5</v>
      </c>
      <c r="J850" s="1">
        <v>163.9</v>
      </c>
      <c r="K850" s="1">
        <v>0</v>
      </c>
      <c r="L850" s="1">
        <v>819.5</v>
      </c>
      <c r="M850" s="1">
        <v>256.39</v>
      </c>
      <c r="N850" s="1">
        <v>37</v>
      </c>
      <c r="O850" s="1" t="s">
        <v>26</v>
      </c>
      <c r="P850" s="1" t="s">
        <v>43</v>
      </c>
    </row>
    <row r="851" spans="1:16" x14ac:dyDescent="0.3">
      <c r="A851" s="1">
        <v>100175</v>
      </c>
      <c r="B851" s="2">
        <v>45737</v>
      </c>
      <c r="C851" s="1" t="s">
        <v>892</v>
      </c>
      <c r="D851" s="1" t="s">
        <v>73</v>
      </c>
      <c r="E851" s="1" t="s">
        <v>25</v>
      </c>
      <c r="F851" s="1" t="s">
        <v>1238</v>
      </c>
      <c r="G851" s="1" t="s">
        <v>18</v>
      </c>
      <c r="H851" s="1">
        <v>1</v>
      </c>
      <c r="I851" s="1">
        <f>Table1[[#This Row],[Units_Sold]]*Table1[[#This Row],[Unit_Price]]</f>
        <v>33.53</v>
      </c>
      <c r="J851" s="1">
        <v>33.53</v>
      </c>
      <c r="K851" s="1">
        <v>0</v>
      </c>
      <c r="L851" s="1">
        <v>33.53</v>
      </c>
      <c r="M851" s="1">
        <v>12.68</v>
      </c>
      <c r="N851" s="1">
        <v>29</v>
      </c>
      <c r="O851" s="1" t="s">
        <v>26</v>
      </c>
      <c r="P851" s="1" t="s">
        <v>46</v>
      </c>
    </row>
    <row r="852" spans="1:16" x14ac:dyDescent="0.3">
      <c r="A852" s="1">
        <v>100245</v>
      </c>
      <c r="B852" s="2">
        <v>45502</v>
      </c>
      <c r="C852" s="1" t="s">
        <v>893</v>
      </c>
      <c r="D852" s="1" t="s">
        <v>34</v>
      </c>
      <c r="E852" s="1" t="s">
        <v>30</v>
      </c>
      <c r="F852" s="1" t="s">
        <v>1237</v>
      </c>
      <c r="G852" s="1" t="s">
        <v>18</v>
      </c>
      <c r="H852" s="1">
        <v>6</v>
      </c>
      <c r="I852" s="1">
        <f>Table1[[#This Row],[Units_Sold]]*Table1[[#This Row],[Unit_Price]]</f>
        <v>327.42</v>
      </c>
      <c r="J852" s="1">
        <v>54.57</v>
      </c>
      <c r="K852" s="1">
        <v>0</v>
      </c>
      <c r="L852" s="1">
        <v>327.42</v>
      </c>
      <c r="M852" s="1">
        <v>98</v>
      </c>
      <c r="N852" s="1">
        <v>39</v>
      </c>
      <c r="O852" s="1" t="s">
        <v>26</v>
      </c>
      <c r="P852" s="1" t="s">
        <v>51</v>
      </c>
    </row>
    <row r="853" spans="1:16" x14ac:dyDescent="0.3">
      <c r="A853" s="1">
        <v>100810</v>
      </c>
      <c r="B853" s="2">
        <v>45007</v>
      </c>
      <c r="C853" s="1" t="s">
        <v>894</v>
      </c>
      <c r="D853" s="1" t="s">
        <v>100</v>
      </c>
      <c r="E853" s="1" t="s">
        <v>25</v>
      </c>
      <c r="F853" s="1" t="s">
        <v>1237</v>
      </c>
      <c r="G853" s="1" t="s">
        <v>18</v>
      </c>
      <c r="H853" s="1">
        <v>3</v>
      </c>
      <c r="I853" s="1">
        <f>Table1[[#This Row],[Units_Sold]]*Table1[[#This Row],[Unit_Price]]</f>
        <v>422.66999999999996</v>
      </c>
      <c r="J853" s="1">
        <v>140.88999999999999</v>
      </c>
      <c r="K853" s="1">
        <v>40</v>
      </c>
      <c r="L853" s="1">
        <v>253.6</v>
      </c>
      <c r="M853" s="1">
        <v>85.72</v>
      </c>
      <c r="N853" s="1">
        <v>43</v>
      </c>
      <c r="O853" s="1" t="s">
        <v>26</v>
      </c>
      <c r="P853" s="1" t="s">
        <v>32</v>
      </c>
    </row>
    <row r="854" spans="1:16" x14ac:dyDescent="0.3">
      <c r="A854" s="1">
        <v>101084</v>
      </c>
      <c r="B854" s="2">
        <v>44935</v>
      </c>
      <c r="C854" s="1" t="s">
        <v>895</v>
      </c>
      <c r="D854" s="1" t="s">
        <v>59</v>
      </c>
      <c r="E854" s="1" t="s">
        <v>17</v>
      </c>
      <c r="F854" s="1" t="s">
        <v>1240</v>
      </c>
      <c r="G854" s="1" t="s">
        <v>31</v>
      </c>
      <c r="H854" s="1">
        <v>4</v>
      </c>
      <c r="I854" s="1">
        <f>Table1[[#This Row],[Units_Sold]]*Table1[[#This Row],[Unit_Price]]</f>
        <v>118.68</v>
      </c>
      <c r="J854" s="1">
        <v>29.67</v>
      </c>
      <c r="K854" s="1">
        <v>0</v>
      </c>
      <c r="L854" s="1">
        <v>118.68</v>
      </c>
      <c r="M854" s="1">
        <v>37.44</v>
      </c>
      <c r="N854" s="1">
        <v>16</v>
      </c>
      <c r="O854" s="1" t="s">
        <v>26</v>
      </c>
      <c r="P854" s="1" t="s">
        <v>32</v>
      </c>
    </row>
    <row r="855" spans="1:16" x14ac:dyDescent="0.3">
      <c r="A855" s="1">
        <v>101077</v>
      </c>
      <c r="B855" s="2">
        <v>45779</v>
      </c>
      <c r="C855" s="1" t="s">
        <v>896</v>
      </c>
      <c r="D855" s="1" t="s">
        <v>34</v>
      </c>
      <c r="E855" s="1" t="s">
        <v>30</v>
      </c>
      <c r="F855" s="1" t="s">
        <v>1239</v>
      </c>
      <c r="G855" s="1" t="s">
        <v>31</v>
      </c>
      <c r="H855" s="1">
        <v>1</v>
      </c>
      <c r="I855" s="1">
        <f>Table1[[#This Row],[Units_Sold]]*Table1[[#This Row],[Unit_Price]]</f>
        <v>60.97</v>
      </c>
      <c r="J855" s="1">
        <v>60.97</v>
      </c>
      <c r="K855" s="1">
        <v>0</v>
      </c>
      <c r="L855" s="1">
        <v>60.97</v>
      </c>
      <c r="M855" s="1">
        <v>14.81</v>
      </c>
      <c r="N855" s="1">
        <v>29</v>
      </c>
      <c r="O855" s="1" t="s">
        <v>19</v>
      </c>
      <c r="P855" s="1" t="s">
        <v>20</v>
      </c>
    </row>
    <row r="856" spans="1:16" x14ac:dyDescent="0.3">
      <c r="A856" s="1">
        <v>100784</v>
      </c>
      <c r="B856" s="2">
        <v>45355</v>
      </c>
      <c r="C856" s="1" t="s">
        <v>897</v>
      </c>
      <c r="D856" s="1" t="s">
        <v>42</v>
      </c>
      <c r="E856" s="1" t="s">
        <v>25</v>
      </c>
      <c r="F856" s="1" t="s">
        <v>1241</v>
      </c>
      <c r="G856" s="1" t="s">
        <v>18</v>
      </c>
      <c r="H856" s="1">
        <v>5</v>
      </c>
      <c r="I856" s="1">
        <f>Table1[[#This Row],[Units_Sold]]*Table1[[#This Row],[Unit_Price]]</f>
        <v>882.2</v>
      </c>
      <c r="J856" s="1">
        <v>176.44</v>
      </c>
      <c r="K856" s="1">
        <v>5</v>
      </c>
      <c r="L856" s="1">
        <v>838.09</v>
      </c>
      <c r="M856" s="1">
        <v>149.75</v>
      </c>
      <c r="N856" s="1">
        <v>35</v>
      </c>
      <c r="O856" s="1" t="s">
        <v>26</v>
      </c>
      <c r="P856" s="1" t="s">
        <v>46</v>
      </c>
    </row>
    <row r="857" spans="1:16" x14ac:dyDescent="0.3">
      <c r="A857" s="1">
        <v>101184</v>
      </c>
      <c r="B857" s="2">
        <v>45779</v>
      </c>
      <c r="C857" s="1" t="s">
        <v>898</v>
      </c>
      <c r="D857" s="1" t="s">
        <v>56</v>
      </c>
      <c r="E857" s="1" t="s">
        <v>30</v>
      </c>
      <c r="F857" s="1" t="s">
        <v>1241</v>
      </c>
      <c r="G857" s="1" t="s">
        <v>18</v>
      </c>
      <c r="H857" s="1">
        <v>3</v>
      </c>
      <c r="I857" s="1">
        <f>Table1[[#This Row],[Units_Sold]]*Table1[[#This Row],[Unit_Price]]</f>
        <v>149.07</v>
      </c>
      <c r="J857" s="1">
        <v>49.69</v>
      </c>
      <c r="K857" s="1">
        <v>5</v>
      </c>
      <c r="L857" s="1">
        <v>141.62</v>
      </c>
      <c r="M857" s="1">
        <v>39.880000000000003</v>
      </c>
      <c r="N857" s="1">
        <v>28</v>
      </c>
      <c r="O857" s="1" t="s">
        <v>26</v>
      </c>
      <c r="P857" s="1" t="s">
        <v>35</v>
      </c>
    </row>
    <row r="858" spans="1:16" x14ac:dyDescent="0.3">
      <c r="A858" s="1">
        <v>100489</v>
      </c>
      <c r="B858" s="2">
        <v>45914</v>
      </c>
      <c r="C858" s="1" t="s">
        <v>899</v>
      </c>
      <c r="D858" s="1" t="s">
        <v>39</v>
      </c>
      <c r="E858" s="1" t="s">
        <v>25</v>
      </c>
      <c r="F858" s="1" t="s">
        <v>1237</v>
      </c>
      <c r="G858" s="1" t="s">
        <v>31</v>
      </c>
      <c r="H858" s="1">
        <v>4</v>
      </c>
      <c r="I858" s="1">
        <f>Table1[[#This Row],[Units_Sold]]*Table1[[#This Row],[Unit_Price]]</f>
        <v>592.96</v>
      </c>
      <c r="J858" s="1">
        <v>148.24</v>
      </c>
      <c r="K858" s="1">
        <v>0</v>
      </c>
      <c r="L858" s="1">
        <v>592.96</v>
      </c>
      <c r="M858" s="1">
        <v>197.2</v>
      </c>
      <c r="N858" s="1">
        <v>20</v>
      </c>
      <c r="O858" s="1" t="s">
        <v>19</v>
      </c>
      <c r="P858" s="1" t="s">
        <v>27</v>
      </c>
    </row>
    <row r="859" spans="1:16" x14ac:dyDescent="0.3">
      <c r="A859" s="1">
        <v>100154</v>
      </c>
      <c r="B859" s="2">
        <v>45023</v>
      </c>
      <c r="C859" s="1" t="s">
        <v>900</v>
      </c>
      <c r="D859" s="1" t="s">
        <v>45</v>
      </c>
      <c r="E859" s="1" t="s">
        <v>30</v>
      </c>
      <c r="F859" s="1" t="s">
        <v>1241</v>
      </c>
      <c r="G859" s="1" t="s">
        <v>31</v>
      </c>
      <c r="H859" s="1">
        <v>6</v>
      </c>
      <c r="I859" s="1">
        <f>Table1[[#This Row],[Units_Sold]]*Table1[[#This Row],[Unit_Price]]</f>
        <v>86.28</v>
      </c>
      <c r="J859" s="1">
        <v>14.38</v>
      </c>
      <c r="K859" s="1">
        <v>0</v>
      </c>
      <c r="L859" s="1">
        <v>86.28</v>
      </c>
      <c r="M859" s="1">
        <v>36.979999999999997</v>
      </c>
      <c r="N859" s="1">
        <v>42</v>
      </c>
      <c r="O859" s="1" t="s">
        <v>19</v>
      </c>
      <c r="P859" s="1" t="s">
        <v>35</v>
      </c>
    </row>
    <row r="860" spans="1:16" x14ac:dyDescent="0.3">
      <c r="A860" s="1">
        <v>100638</v>
      </c>
      <c r="B860" s="2">
        <v>45448</v>
      </c>
      <c r="C860" s="1" t="s">
        <v>901</v>
      </c>
      <c r="D860" s="1" t="s">
        <v>34</v>
      </c>
      <c r="E860" s="1" t="s">
        <v>30</v>
      </c>
      <c r="F860" s="1" t="s">
        <v>1238</v>
      </c>
      <c r="G860" s="1" t="s">
        <v>18</v>
      </c>
      <c r="H860" s="1">
        <v>5</v>
      </c>
      <c r="I860" s="1">
        <f>Table1[[#This Row],[Units_Sold]]*Table1[[#This Row],[Unit_Price]]</f>
        <v>316.35000000000002</v>
      </c>
      <c r="J860" s="1">
        <v>63.27</v>
      </c>
      <c r="K860" s="1">
        <v>0</v>
      </c>
      <c r="L860" s="1">
        <v>316.35000000000002</v>
      </c>
      <c r="M860" s="1">
        <v>107.19</v>
      </c>
      <c r="N860" s="1">
        <v>25</v>
      </c>
      <c r="O860" s="1" t="s">
        <v>26</v>
      </c>
      <c r="P860" s="1" t="s">
        <v>81</v>
      </c>
    </row>
    <row r="861" spans="1:16" x14ac:dyDescent="0.3">
      <c r="A861" s="1">
        <v>100662</v>
      </c>
      <c r="B861" s="2">
        <v>45416</v>
      </c>
      <c r="C861" s="1" t="s">
        <v>902</v>
      </c>
      <c r="D861" s="1" t="s">
        <v>34</v>
      </c>
      <c r="E861" s="1" t="s">
        <v>30</v>
      </c>
      <c r="F861" s="1" t="s">
        <v>1237</v>
      </c>
      <c r="G861" s="1" t="s">
        <v>48</v>
      </c>
      <c r="H861" s="1">
        <v>2</v>
      </c>
      <c r="I861" s="1">
        <f>Table1[[#This Row],[Units_Sold]]*Table1[[#This Row],[Unit_Price]]</f>
        <v>126.6</v>
      </c>
      <c r="J861" s="1">
        <v>63.3</v>
      </c>
      <c r="K861" s="1">
        <v>5</v>
      </c>
      <c r="L861" s="1">
        <v>120.27</v>
      </c>
      <c r="M861" s="1">
        <v>52.04</v>
      </c>
      <c r="N861" s="1">
        <v>25</v>
      </c>
      <c r="O861" s="1" t="s">
        <v>26</v>
      </c>
      <c r="P861" s="1" t="s">
        <v>51</v>
      </c>
    </row>
    <row r="862" spans="1:16" x14ac:dyDescent="0.3">
      <c r="A862" s="1">
        <v>100853</v>
      </c>
      <c r="B862" s="2">
        <v>45651</v>
      </c>
      <c r="C862" s="1" t="s">
        <v>127</v>
      </c>
      <c r="D862" s="1" t="s">
        <v>39</v>
      </c>
      <c r="E862" s="1" t="s">
        <v>25</v>
      </c>
      <c r="F862" s="1" t="s">
        <v>1237</v>
      </c>
      <c r="G862" s="1" t="s">
        <v>31</v>
      </c>
      <c r="H862" s="1">
        <v>3</v>
      </c>
      <c r="I862" s="1">
        <f>Table1[[#This Row],[Units_Sold]]*Table1[[#This Row],[Unit_Price]]</f>
        <v>530.01</v>
      </c>
      <c r="J862" s="1">
        <v>176.67</v>
      </c>
      <c r="K862" s="1">
        <v>0</v>
      </c>
      <c r="L862" s="1">
        <v>530.01</v>
      </c>
      <c r="M862" s="1">
        <v>197.42</v>
      </c>
      <c r="N862" s="1">
        <v>18</v>
      </c>
      <c r="O862" s="1" t="s">
        <v>19</v>
      </c>
      <c r="P862" s="1" t="s">
        <v>27</v>
      </c>
    </row>
    <row r="863" spans="1:16" x14ac:dyDescent="0.3">
      <c r="A863" s="1">
        <v>100287</v>
      </c>
      <c r="B863" s="2">
        <v>45332</v>
      </c>
      <c r="C863" s="1" t="s">
        <v>903</v>
      </c>
      <c r="D863" s="1" t="s">
        <v>39</v>
      </c>
      <c r="E863" s="1" t="s">
        <v>25</v>
      </c>
      <c r="F863" s="1" t="s">
        <v>1239</v>
      </c>
      <c r="G863" s="1" t="s">
        <v>18</v>
      </c>
      <c r="H863" s="1">
        <v>1</v>
      </c>
      <c r="I863" s="1">
        <f>Table1[[#This Row],[Units_Sold]]*Table1[[#This Row],[Unit_Price]]</f>
        <v>153.12</v>
      </c>
      <c r="J863" s="1">
        <v>153.12</v>
      </c>
      <c r="K863" s="1">
        <v>0</v>
      </c>
      <c r="L863" s="1">
        <v>153.12</v>
      </c>
      <c r="M863" s="1">
        <v>49.61</v>
      </c>
      <c r="N863" s="1">
        <v>19</v>
      </c>
      <c r="O863" s="1" t="s">
        <v>26</v>
      </c>
      <c r="P863" s="1" t="s">
        <v>81</v>
      </c>
    </row>
    <row r="864" spans="1:16" x14ac:dyDescent="0.3">
      <c r="A864" s="1">
        <v>100625</v>
      </c>
      <c r="B864" s="2">
        <v>45447</v>
      </c>
      <c r="C864" s="1" t="s">
        <v>904</v>
      </c>
      <c r="D864" s="1" t="s">
        <v>87</v>
      </c>
      <c r="E864" s="1" t="s">
        <v>25</v>
      </c>
      <c r="F864" s="1" t="s">
        <v>1237</v>
      </c>
      <c r="G864" s="1" t="s">
        <v>18</v>
      </c>
      <c r="H864" s="1">
        <v>4</v>
      </c>
      <c r="I864" s="1">
        <f>Table1[[#This Row],[Units_Sold]]*Table1[[#This Row],[Unit_Price]]</f>
        <v>335.76</v>
      </c>
      <c r="J864" s="1">
        <v>83.94</v>
      </c>
      <c r="K864" s="1">
        <v>5</v>
      </c>
      <c r="L864" s="1">
        <v>318.97000000000003</v>
      </c>
      <c r="M864" s="1">
        <v>118.43</v>
      </c>
      <c r="N864" s="1">
        <v>25</v>
      </c>
      <c r="O864" s="1" t="s">
        <v>19</v>
      </c>
      <c r="P864" s="1" t="s">
        <v>27</v>
      </c>
    </row>
    <row r="865" spans="1:16" x14ac:dyDescent="0.3">
      <c r="A865" s="1">
        <v>101199</v>
      </c>
      <c r="B865" s="2">
        <v>45275</v>
      </c>
      <c r="C865" s="1" t="s">
        <v>905</v>
      </c>
      <c r="D865" s="1" t="s">
        <v>42</v>
      </c>
      <c r="E865" s="1" t="s">
        <v>25</v>
      </c>
      <c r="F865" s="1" t="s">
        <v>1240</v>
      </c>
      <c r="G865" s="1" t="s">
        <v>31</v>
      </c>
      <c r="H865" s="1">
        <v>2</v>
      </c>
      <c r="I865" s="1">
        <f>Table1[[#This Row],[Units_Sold]]*Table1[[#This Row],[Unit_Price]]</f>
        <v>352.46</v>
      </c>
      <c r="J865" s="1">
        <v>176.23</v>
      </c>
      <c r="K865" s="1">
        <v>0</v>
      </c>
      <c r="L865" s="1">
        <v>352.46</v>
      </c>
      <c r="M865" s="1">
        <v>120.59</v>
      </c>
      <c r="N865" s="1">
        <v>36</v>
      </c>
      <c r="O865" s="1" t="s">
        <v>26</v>
      </c>
      <c r="P865" s="1" t="s">
        <v>51</v>
      </c>
    </row>
    <row r="866" spans="1:16" x14ac:dyDescent="0.3">
      <c r="A866" s="1">
        <v>100685</v>
      </c>
      <c r="B866" s="2">
        <v>45066</v>
      </c>
      <c r="C866" s="1" t="s">
        <v>906</v>
      </c>
      <c r="D866" s="1" t="s">
        <v>29</v>
      </c>
      <c r="E866" s="1" t="s">
        <v>30</v>
      </c>
      <c r="F866" s="1" t="s">
        <v>1237</v>
      </c>
      <c r="G866" s="1" t="s">
        <v>64</v>
      </c>
      <c r="H866" s="1">
        <v>3</v>
      </c>
      <c r="I866" s="1">
        <f>Table1[[#This Row],[Units_Sold]]*Table1[[#This Row],[Unit_Price]]</f>
        <v>61.800000000000004</v>
      </c>
      <c r="J866" s="1">
        <v>20.6</v>
      </c>
      <c r="K866" s="1">
        <v>0</v>
      </c>
      <c r="L866" s="1">
        <v>61.8</v>
      </c>
      <c r="M866" s="1">
        <v>21.17</v>
      </c>
      <c r="N866" s="1">
        <v>39</v>
      </c>
      <c r="O866" s="1" t="s">
        <v>26</v>
      </c>
      <c r="P866" s="1" t="s">
        <v>35</v>
      </c>
    </row>
    <row r="867" spans="1:16" x14ac:dyDescent="0.3">
      <c r="A867" s="1">
        <v>100872</v>
      </c>
      <c r="B867" s="2">
        <v>45306</v>
      </c>
      <c r="C867" s="1" t="s">
        <v>907</v>
      </c>
      <c r="D867" s="1" t="s">
        <v>73</v>
      </c>
      <c r="E867" s="1" t="s">
        <v>25</v>
      </c>
      <c r="F867" s="1" t="s">
        <v>1241</v>
      </c>
      <c r="G867" s="1" t="s">
        <v>18</v>
      </c>
      <c r="H867" s="1">
        <v>4</v>
      </c>
      <c r="I867" s="1">
        <f>Table1[[#This Row],[Units_Sold]]*Table1[[#This Row],[Unit_Price]]</f>
        <v>131.04</v>
      </c>
      <c r="J867" s="1">
        <v>32.76</v>
      </c>
      <c r="K867" s="1">
        <v>5</v>
      </c>
      <c r="L867" s="1">
        <v>124.49</v>
      </c>
      <c r="M867" s="1">
        <v>35.81</v>
      </c>
      <c r="N867" s="1">
        <v>27</v>
      </c>
      <c r="O867" s="1" t="s">
        <v>26</v>
      </c>
      <c r="P867" s="1" t="s">
        <v>43</v>
      </c>
    </row>
    <row r="868" spans="1:16" x14ac:dyDescent="0.3">
      <c r="A868" s="1">
        <v>100569</v>
      </c>
      <c r="B868" s="2">
        <v>45488</v>
      </c>
      <c r="C868" s="1" t="s">
        <v>908</v>
      </c>
      <c r="D868" s="1" t="s">
        <v>53</v>
      </c>
      <c r="E868" s="1" t="s">
        <v>30</v>
      </c>
      <c r="F868" s="1" t="s">
        <v>1240</v>
      </c>
      <c r="G868" s="1" t="s">
        <v>31</v>
      </c>
      <c r="H868" s="1">
        <v>5</v>
      </c>
      <c r="I868" s="1">
        <f>Table1[[#This Row],[Units_Sold]]*Table1[[#This Row],[Unit_Price]]</f>
        <v>91.95</v>
      </c>
      <c r="J868" s="1">
        <v>18.39</v>
      </c>
      <c r="K868" s="1">
        <v>0</v>
      </c>
      <c r="L868" s="1">
        <v>91.95</v>
      </c>
      <c r="M868" s="1">
        <v>27.35</v>
      </c>
      <c r="N868" s="1">
        <v>27</v>
      </c>
      <c r="O868" s="1" t="s">
        <v>19</v>
      </c>
      <c r="P868" s="1" t="s">
        <v>32</v>
      </c>
    </row>
    <row r="869" spans="1:16" x14ac:dyDescent="0.3">
      <c r="A869" s="1">
        <v>101143</v>
      </c>
      <c r="B869" s="2">
        <v>45831</v>
      </c>
      <c r="C869" s="1" t="s">
        <v>909</v>
      </c>
      <c r="D869" s="1" t="s">
        <v>70</v>
      </c>
      <c r="E869" s="1" t="s">
        <v>25</v>
      </c>
      <c r="F869" s="1" t="s">
        <v>1240</v>
      </c>
      <c r="G869" s="1" t="s">
        <v>18</v>
      </c>
      <c r="H869" s="1">
        <v>3</v>
      </c>
      <c r="I869" s="1">
        <f>Table1[[#This Row],[Units_Sold]]*Table1[[#This Row],[Unit_Price]]</f>
        <v>424.14</v>
      </c>
      <c r="J869" s="1">
        <v>141.38</v>
      </c>
      <c r="K869" s="1">
        <v>10</v>
      </c>
      <c r="L869" s="1">
        <v>381.73</v>
      </c>
      <c r="M869" s="1">
        <v>117.96</v>
      </c>
      <c r="N869" s="1">
        <v>24</v>
      </c>
      <c r="O869" s="1" t="s">
        <v>26</v>
      </c>
      <c r="P869" s="1" t="s">
        <v>32</v>
      </c>
    </row>
    <row r="870" spans="1:16" x14ac:dyDescent="0.3">
      <c r="A870" s="1">
        <v>100734</v>
      </c>
      <c r="B870" s="2">
        <v>45659</v>
      </c>
      <c r="C870" s="1" t="s">
        <v>910</v>
      </c>
      <c r="D870" s="1" t="s">
        <v>73</v>
      </c>
      <c r="E870" s="1" t="s">
        <v>25</v>
      </c>
      <c r="F870" s="1" t="s">
        <v>1241</v>
      </c>
      <c r="G870" s="1" t="s">
        <v>31</v>
      </c>
      <c r="H870" s="1">
        <v>2</v>
      </c>
      <c r="I870" s="1">
        <f>Table1[[#This Row],[Units_Sold]]*Table1[[#This Row],[Unit_Price]]</f>
        <v>71.02</v>
      </c>
      <c r="J870" s="1">
        <v>35.51</v>
      </c>
      <c r="K870" s="1">
        <v>0</v>
      </c>
      <c r="L870" s="1">
        <v>71.02</v>
      </c>
      <c r="M870" s="1">
        <v>25.62</v>
      </c>
      <c r="N870" s="1">
        <v>42</v>
      </c>
      <c r="O870" s="1" t="s">
        <v>26</v>
      </c>
      <c r="P870" s="1" t="s">
        <v>27</v>
      </c>
    </row>
    <row r="871" spans="1:16" x14ac:dyDescent="0.3">
      <c r="A871" s="1">
        <v>100792</v>
      </c>
      <c r="B871" s="2">
        <v>45709</v>
      </c>
      <c r="C871" s="1" t="s">
        <v>911</v>
      </c>
      <c r="D871" s="1" t="s">
        <v>68</v>
      </c>
      <c r="E871" s="1" t="s">
        <v>25</v>
      </c>
      <c r="F871" s="1" t="s">
        <v>1239</v>
      </c>
      <c r="G871" s="1" t="s">
        <v>31</v>
      </c>
      <c r="H871" s="1">
        <v>4</v>
      </c>
      <c r="I871" s="1">
        <f>Table1[[#This Row],[Units_Sold]]*Table1[[#This Row],[Unit_Price]]</f>
        <v>1011.56</v>
      </c>
      <c r="J871" s="1">
        <v>252.89</v>
      </c>
      <c r="K871" s="1">
        <v>0</v>
      </c>
      <c r="L871" s="1">
        <v>1011.56</v>
      </c>
      <c r="M871" s="1">
        <v>324.7</v>
      </c>
      <c r="N871" s="1">
        <v>25</v>
      </c>
      <c r="O871" s="1" t="s">
        <v>26</v>
      </c>
      <c r="P871" s="1" t="s">
        <v>51</v>
      </c>
    </row>
    <row r="872" spans="1:16" x14ac:dyDescent="0.3">
      <c r="A872" s="1">
        <v>100017</v>
      </c>
      <c r="B872" s="2">
        <v>45657</v>
      </c>
      <c r="C872" s="1" t="s">
        <v>912</v>
      </c>
      <c r="D872" s="1" t="s">
        <v>16</v>
      </c>
      <c r="E872" s="1" t="s">
        <v>17</v>
      </c>
      <c r="F872" s="1" t="s">
        <v>1237</v>
      </c>
      <c r="G872" s="1" t="s">
        <v>18</v>
      </c>
      <c r="H872" s="1">
        <v>4</v>
      </c>
      <c r="I872" s="1">
        <f>Table1[[#This Row],[Units_Sold]]*Table1[[#This Row],[Unit_Price]]</f>
        <v>237.04</v>
      </c>
      <c r="J872" s="1">
        <v>59.26</v>
      </c>
      <c r="K872" s="1">
        <v>5</v>
      </c>
      <c r="L872" s="1">
        <v>225.19</v>
      </c>
      <c r="M872" s="1">
        <v>57.76</v>
      </c>
      <c r="N872" s="1">
        <v>18</v>
      </c>
      <c r="O872" s="1" t="s">
        <v>19</v>
      </c>
      <c r="P872" s="1" t="s">
        <v>46</v>
      </c>
    </row>
    <row r="873" spans="1:16" x14ac:dyDescent="0.3">
      <c r="A873" s="1">
        <v>100127</v>
      </c>
      <c r="B873" s="2">
        <v>45256</v>
      </c>
      <c r="C873" s="1" t="s">
        <v>913</v>
      </c>
      <c r="D873" s="1" t="s">
        <v>100</v>
      </c>
      <c r="E873" s="1" t="s">
        <v>25</v>
      </c>
      <c r="F873" s="1" t="s">
        <v>1241</v>
      </c>
      <c r="G873" s="1" t="s">
        <v>31</v>
      </c>
      <c r="H873" s="1">
        <v>2</v>
      </c>
      <c r="I873" s="1">
        <f>Table1[[#This Row],[Units_Sold]]*Table1[[#This Row],[Unit_Price]]</f>
        <v>216.88</v>
      </c>
      <c r="J873" s="1">
        <v>108.44</v>
      </c>
      <c r="K873" s="1">
        <v>10</v>
      </c>
      <c r="L873" s="1">
        <v>195.19</v>
      </c>
      <c r="M873" s="1">
        <v>44.82</v>
      </c>
      <c r="N873" s="1">
        <v>23</v>
      </c>
      <c r="O873" s="1" t="s">
        <v>19</v>
      </c>
      <c r="P873" s="1" t="s">
        <v>43</v>
      </c>
    </row>
    <row r="874" spans="1:16" x14ac:dyDescent="0.3">
      <c r="A874" s="1">
        <v>100322</v>
      </c>
      <c r="B874" s="2">
        <v>45674</v>
      </c>
      <c r="C874" s="1" t="s">
        <v>914</v>
      </c>
      <c r="D874" s="1" t="s">
        <v>37</v>
      </c>
      <c r="E874" s="1" t="s">
        <v>17</v>
      </c>
      <c r="F874" s="1" t="s">
        <v>1241</v>
      </c>
      <c r="G874" s="1" t="s">
        <v>18</v>
      </c>
      <c r="H874" s="1">
        <v>4</v>
      </c>
      <c r="I874" s="1">
        <f>Table1[[#This Row],[Units_Sold]]*Table1[[#This Row],[Unit_Price]]</f>
        <v>296.2</v>
      </c>
      <c r="J874" s="1">
        <v>74.05</v>
      </c>
      <c r="K874" s="1">
        <v>10</v>
      </c>
      <c r="L874" s="1">
        <v>266.58</v>
      </c>
      <c r="M874" s="1">
        <v>85.32</v>
      </c>
      <c r="N874" s="1">
        <v>22</v>
      </c>
      <c r="O874" s="1" t="s">
        <v>26</v>
      </c>
      <c r="P874" s="1" t="s">
        <v>81</v>
      </c>
    </row>
    <row r="875" spans="1:16" x14ac:dyDescent="0.3">
      <c r="A875" s="1">
        <v>100255</v>
      </c>
      <c r="B875" s="2">
        <v>45789</v>
      </c>
      <c r="C875" s="1" t="s">
        <v>915</v>
      </c>
      <c r="D875" s="1" t="s">
        <v>37</v>
      </c>
      <c r="E875" s="1" t="s">
        <v>17</v>
      </c>
      <c r="F875" s="1" t="s">
        <v>1241</v>
      </c>
      <c r="G875" s="1" t="s">
        <v>18</v>
      </c>
      <c r="H875" s="1">
        <v>2</v>
      </c>
      <c r="I875" s="1">
        <f>Table1[[#This Row],[Units_Sold]]*Table1[[#This Row],[Unit_Price]]</f>
        <v>165.64</v>
      </c>
      <c r="J875" s="1">
        <v>82.82</v>
      </c>
      <c r="K875" s="1">
        <v>10</v>
      </c>
      <c r="L875" s="1">
        <v>149.08000000000001</v>
      </c>
      <c r="M875" s="1">
        <v>40.590000000000003</v>
      </c>
      <c r="N875" s="1">
        <v>37</v>
      </c>
      <c r="O875" s="1" t="s">
        <v>26</v>
      </c>
      <c r="P875" s="1" t="s">
        <v>81</v>
      </c>
    </row>
    <row r="876" spans="1:16" x14ac:dyDescent="0.3">
      <c r="A876" s="1">
        <v>100943</v>
      </c>
      <c r="B876" s="2">
        <v>45682</v>
      </c>
      <c r="C876" s="1" t="s">
        <v>308</v>
      </c>
      <c r="D876" s="1" t="s">
        <v>34</v>
      </c>
      <c r="E876" s="1" t="s">
        <v>30</v>
      </c>
      <c r="F876" s="1" t="s">
        <v>1237</v>
      </c>
      <c r="G876" s="1" t="s">
        <v>18</v>
      </c>
      <c r="H876" s="1">
        <v>5</v>
      </c>
      <c r="I876" s="1">
        <f>Table1[[#This Row],[Units_Sold]]*Table1[[#This Row],[Unit_Price]]</f>
        <v>312.89999999999998</v>
      </c>
      <c r="J876" s="1">
        <v>62.58</v>
      </c>
      <c r="K876" s="1">
        <v>0</v>
      </c>
      <c r="L876" s="1">
        <v>312.89999999999998</v>
      </c>
      <c r="M876" s="1">
        <v>97.62</v>
      </c>
      <c r="N876" s="1">
        <v>17</v>
      </c>
      <c r="O876" s="1" t="s">
        <v>26</v>
      </c>
      <c r="P876" s="1" t="s">
        <v>20</v>
      </c>
    </row>
    <row r="877" spans="1:16" x14ac:dyDescent="0.3">
      <c r="A877" s="1">
        <v>101179</v>
      </c>
      <c r="B877" s="2">
        <v>45055</v>
      </c>
      <c r="C877" s="1" t="s">
        <v>916</v>
      </c>
      <c r="D877" s="1" t="s">
        <v>62</v>
      </c>
      <c r="E877" s="1" t="s">
        <v>17</v>
      </c>
      <c r="F877" s="1" t="s">
        <v>1238</v>
      </c>
      <c r="G877" s="1" t="s">
        <v>31</v>
      </c>
      <c r="H877" s="1">
        <v>2</v>
      </c>
      <c r="I877" s="1">
        <f>Table1[[#This Row],[Units_Sold]]*Table1[[#This Row],[Unit_Price]]</f>
        <v>257.12</v>
      </c>
      <c r="J877" s="1">
        <v>128.56</v>
      </c>
      <c r="K877" s="1">
        <v>0</v>
      </c>
      <c r="L877" s="1">
        <v>257.12</v>
      </c>
      <c r="M877" s="1">
        <v>82.32</v>
      </c>
      <c r="N877" s="1">
        <v>35</v>
      </c>
      <c r="O877" s="1" t="s">
        <v>26</v>
      </c>
      <c r="P877" s="1" t="s">
        <v>81</v>
      </c>
    </row>
    <row r="878" spans="1:16" x14ac:dyDescent="0.3">
      <c r="A878" s="1">
        <v>100190</v>
      </c>
      <c r="B878" s="2">
        <v>45055</v>
      </c>
      <c r="C878" s="1" t="s">
        <v>917</v>
      </c>
      <c r="D878" s="1" t="s">
        <v>66</v>
      </c>
      <c r="E878" s="1" t="s">
        <v>17</v>
      </c>
      <c r="F878" s="1" t="s">
        <v>1238</v>
      </c>
      <c r="G878" s="1" t="s">
        <v>31</v>
      </c>
      <c r="H878" s="1">
        <v>1</v>
      </c>
      <c r="I878" s="1">
        <f>Table1[[#This Row],[Units_Sold]]*Table1[[#This Row],[Unit_Price]]</f>
        <v>118.28</v>
      </c>
      <c r="J878" s="1">
        <v>118.28</v>
      </c>
      <c r="K878" s="1">
        <v>0</v>
      </c>
      <c r="L878" s="1">
        <v>118.28</v>
      </c>
      <c r="M878" s="1">
        <v>27.92</v>
      </c>
      <c r="N878" s="1">
        <v>44</v>
      </c>
      <c r="O878" s="1" t="s">
        <v>26</v>
      </c>
      <c r="P878" s="1" t="s">
        <v>35</v>
      </c>
    </row>
    <row r="879" spans="1:16" x14ac:dyDescent="0.3">
      <c r="A879" s="1">
        <v>100115</v>
      </c>
      <c r="B879" s="2">
        <v>45618</v>
      </c>
      <c r="C879" s="1" t="s">
        <v>918</v>
      </c>
      <c r="D879" s="1" t="s">
        <v>37</v>
      </c>
      <c r="E879" s="1" t="s">
        <v>17</v>
      </c>
      <c r="F879" s="1" t="s">
        <v>1237</v>
      </c>
      <c r="G879" s="1" t="s">
        <v>64</v>
      </c>
      <c r="H879" s="1">
        <v>2</v>
      </c>
      <c r="I879" s="1">
        <f>Table1[[#This Row],[Units_Sold]]*Table1[[#This Row],[Unit_Price]]</f>
        <v>135.02000000000001</v>
      </c>
      <c r="J879" s="1">
        <v>67.510000000000005</v>
      </c>
      <c r="K879" s="1">
        <v>5</v>
      </c>
      <c r="L879" s="1">
        <v>128.27000000000001</v>
      </c>
      <c r="M879" s="1">
        <v>43.33</v>
      </c>
      <c r="N879" s="1">
        <v>37</v>
      </c>
      <c r="O879" s="1" t="s">
        <v>26</v>
      </c>
      <c r="P879" s="1" t="s">
        <v>51</v>
      </c>
    </row>
    <row r="880" spans="1:16" x14ac:dyDescent="0.3">
      <c r="A880" s="1">
        <v>101173</v>
      </c>
      <c r="B880" s="2">
        <v>44959</v>
      </c>
      <c r="C880" s="1" t="s">
        <v>919</v>
      </c>
      <c r="D880" s="1" t="s">
        <v>53</v>
      </c>
      <c r="E880" s="1" t="s">
        <v>30</v>
      </c>
      <c r="F880" s="1" t="s">
        <v>1241</v>
      </c>
      <c r="G880" s="1" t="s">
        <v>31</v>
      </c>
      <c r="H880" s="1">
        <v>3</v>
      </c>
      <c r="I880" s="1">
        <f>Table1[[#This Row],[Units_Sold]]*Table1[[#This Row],[Unit_Price]]</f>
        <v>67.59</v>
      </c>
      <c r="J880" s="1">
        <v>22.53</v>
      </c>
      <c r="K880" s="1">
        <v>0</v>
      </c>
      <c r="L880" s="1">
        <v>67.59</v>
      </c>
      <c r="M880" s="1">
        <v>25.9</v>
      </c>
      <c r="N880" s="1">
        <v>32</v>
      </c>
      <c r="O880" s="1" t="s">
        <v>26</v>
      </c>
      <c r="P880" s="1" t="s">
        <v>32</v>
      </c>
    </row>
    <row r="881" spans="1:16" x14ac:dyDescent="0.3">
      <c r="A881" s="1">
        <v>100888</v>
      </c>
      <c r="B881" s="2">
        <v>45290</v>
      </c>
      <c r="C881" s="1" t="s">
        <v>920</v>
      </c>
      <c r="D881" s="1" t="s">
        <v>34</v>
      </c>
      <c r="E881" s="1" t="s">
        <v>30</v>
      </c>
      <c r="F881" s="1" t="s">
        <v>1237</v>
      </c>
      <c r="G881" s="1" t="s">
        <v>18</v>
      </c>
      <c r="H881" s="1">
        <v>2</v>
      </c>
      <c r="I881" s="1">
        <f>Table1[[#This Row],[Units_Sold]]*Table1[[#This Row],[Unit_Price]]</f>
        <v>117.74</v>
      </c>
      <c r="J881" s="1">
        <v>58.87</v>
      </c>
      <c r="K881" s="1">
        <v>5</v>
      </c>
      <c r="L881" s="1">
        <v>111.85</v>
      </c>
      <c r="M881" s="1">
        <v>33.72</v>
      </c>
      <c r="N881" s="1">
        <v>25</v>
      </c>
      <c r="O881" s="1" t="s">
        <v>26</v>
      </c>
      <c r="P881" s="1" t="s">
        <v>81</v>
      </c>
    </row>
    <row r="882" spans="1:16" x14ac:dyDescent="0.3">
      <c r="A882" s="1">
        <v>100606</v>
      </c>
      <c r="B882" s="2">
        <v>45712</v>
      </c>
      <c r="C882" s="1" t="s">
        <v>921</v>
      </c>
      <c r="D882" s="1" t="s">
        <v>39</v>
      </c>
      <c r="E882" s="1" t="s">
        <v>25</v>
      </c>
      <c r="F882" s="1" t="s">
        <v>1238</v>
      </c>
      <c r="G882" s="1" t="s">
        <v>18</v>
      </c>
      <c r="H882" s="1">
        <v>4</v>
      </c>
      <c r="I882" s="1">
        <f>Table1[[#This Row],[Units_Sold]]*Table1[[#This Row],[Unit_Price]]</f>
        <v>646.24</v>
      </c>
      <c r="J882" s="1">
        <v>161.56</v>
      </c>
      <c r="K882" s="1">
        <v>10</v>
      </c>
      <c r="L882" s="1">
        <v>581.62</v>
      </c>
      <c r="M882" s="1">
        <v>180</v>
      </c>
      <c r="N882" s="1">
        <v>31</v>
      </c>
      <c r="O882" s="1" t="s">
        <v>19</v>
      </c>
      <c r="P882" s="1" t="s">
        <v>81</v>
      </c>
    </row>
    <row r="883" spans="1:16" x14ac:dyDescent="0.3">
      <c r="A883" s="1">
        <v>100180</v>
      </c>
      <c r="B883" s="2">
        <v>45286</v>
      </c>
      <c r="C883" s="1" t="s">
        <v>922</v>
      </c>
      <c r="D883" s="1" t="s">
        <v>29</v>
      </c>
      <c r="E883" s="1" t="s">
        <v>30</v>
      </c>
      <c r="F883" s="1" t="s">
        <v>1239</v>
      </c>
      <c r="G883" s="1" t="s">
        <v>18</v>
      </c>
      <c r="H883" s="1">
        <v>2</v>
      </c>
      <c r="I883" s="1">
        <f>Table1[[#This Row],[Units_Sold]]*Table1[[#This Row],[Unit_Price]]</f>
        <v>35.299999999999997</v>
      </c>
      <c r="J883" s="1">
        <v>17.649999999999999</v>
      </c>
      <c r="K883" s="1">
        <v>10</v>
      </c>
      <c r="L883" s="1">
        <v>31.77</v>
      </c>
      <c r="M883" s="1">
        <v>11.27</v>
      </c>
      <c r="N883" s="1">
        <v>19</v>
      </c>
      <c r="O883" s="1" t="s">
        <v>122</v>
      </c>
      <c r="P883" s="1" t="s">
        <v>20</v>
      </c>
    </row>
    <row r="884" spans="1:16" x14ac:dyDescent="0.3">
      <c r="A884" s="1">
        <v>100301</v>
      </c>
      <c r="B884" s="2">
        <v>45065</v>
      </c>
      <c r="C884" s="1" t="s">
        <v>923</v>
      </c>
      <c r="D884" s="1" t="s">
        <v>34</v>
      </c>
      <c r="E884" s="1" t="s">
        <v>30</v>
      </c>
      <c r="F884" s="1" t="s">
        <v>1240</v>
      </c>
      <c r="G884" s="1" t="s">
        <v>48</v>
      </c>
      <c r="H884" s="1">
        <v>1</v>
      </c>
      <c r="I884" s="1">
        <f>Table1[[#This Row],[Units_Sold]]*Table1[[#This Row],[Unit_Price]]</f>
        <v>63.33</v>
      </c>
      <c r="J884" s="1">
        <v>63.33</v>
      </c>
      <c r="K884" s="1">
        <v>0</v>
      </c>
      <c r="L884" s="1">
        <v>63.33</v>
      </c>
      <c r="M884" s="1">
        <v>22.58</v>
      </c>
      <c r="N884" s="1">
        <v>44</v>
      </c>
      <c r="O884" s="1" t="s">
        <v>26</v>
      </c>
      <c r="P884" s="1" t="s">
        <v>35</v>
      </c>
    </row>
    <row r="885" spans="1:16" x14ac:dyDescent="0.3">
      <c r="A885" s="1">
        <v>100496</v>
      </c>
      <c r="B885" s="2">
        <v>45499</v>
      </c>
      <c r="C885" s="1" t="s">
        <v>924</v>
      </c>
      <c r="D885" s="1" t="s">
        <v>24</v>
      </c>
      <c r="E885" s="1" t="s">
        <v>25</v>
      </c>
      <c r="F885" s="1" t="s">
        <v>1238</v>
      </c>
      <c r="G885" s="1" t="s">
        <v>18</v>
      </c>
      <c r="H885" s="1">
        <v>4</v>
      </c>
      <c r="I885" s="1">
        <f>Table1[[#This Row],[Units_Sold]]*Table1[[#This Row],[Unit_Price]]</f>
        <v>415.12</v>
      </c>
      <c r="J885" s="1">
        <v>103.78</v>
      </c>
      <c r="K885" s="1">
        <v>0</v>
      </c>
      <c r="L885" s="1">
        <v>415.12</v>
      </c>
      <c r="M885" s="1">
        <v>115.8</v>
      </c>
      <c r="N885" s="1">
        <v>30</v>
      </c>
      <c r="O885" s="1" t="s">
        <v>26</v>
      </c>
      <c r="P885" s="1" t="s">
        <v>20</v>
      </c>
    </row>
    <row r="886" spans="1:16" x14ac:dyDescent="0.3">
      <c r="A886" s="1">
        <v>100348</v>
      </c>
      <c r="B886" s="2">
        <v>45484</v>
      </c>
      <c r="C886" s="1" t="s">
        <v>925</v>
      </c>
      <c r="D886" s="1" t="s">
        <v>53</v>
      </c>
      <c r="E886" s="1" t="s">
        <v>30</v>
      </c>
      <c r="F886" s="1" t="s">
        <v>1237</v>
      </c>
      <c r="G886" s="1" t="s">
        <v>18</v>
      </c>
      <c r="H886" s="1">
        <v>3</v>
      </c>
      <c r="I886" s="1">
        <f>Table1[[#This Row],[Units_Sold]]*Table1[[#This Row],[Unit_Price]]</f>
        <v>65.820000000000007</v>
      </c>
      <c r="J886" s="1">
        <v>21.94</v>
      </c>
      <c r="K886" s="1">
        <v>5</v>
      </c>
      <c r="L886" s="1">
        <v>62.53</v>
      </c>
      <c r="M886" s="1">
        <v>19.72</v>
      </c>
      <c r="N886" s="1">
        <v>16</v>
      </c>
      <c r="O886" s="1" t="s">
        <v>26</v>
      </c>
      <c r="P886" s="1" t="s">
        <v>81</v>
      </c>
    </row>
    <row r="887" spans="1:16" x14ac:dyDescent="0.3">
      <c r="A887" s="1">
        <v>101035</v>
      </c>
      <c r="B887" s="2">
        <v>45020</v>
      </c>
      <c r="C887" s="1" t="s">
        <v>926</v>
      </c>
      <c r="D887" s="1" t="s">
        <v>70</v>
      </c>
      <c r="E887" s="1" t="s">
        <v>25</v>
      </c>
      <c r="F887" s="1" t="s">
        <v>1238</v>
      </c>
      <c r="G887" s="1" t="s">
        <v>31</v>
      </c>
      <c r="H887" s="1">
        <v>2</v>
      </c>
      <c r="I887" s="1">
        <f>Table1[[#This Row],[Units_Sold]]*Table1[[#This Row],[Unit_Price]]</f>
        <v>300.32</v>
      </c>
      <c r="J887" s="1">
        <v>150.16</v>
      </c>
      <c r="K887" s="1">
        <v>5</v>
      </c>
      <c r="L887" s="1">
        <v>285.3</v>
      </c>
      <c r="M887" s="1">
        <v>104.02</v>
      </c>
      <c r="N887" s="1">
        <v>24</v>
      </c>
      <c r="O887" s="1" t="s">
        <v>122</v>
      </c>
      <c r="P887" s="1" t="s">
        <v>51</v>
      </c>
    </row>
    <row r="888" spans="1:16" x14ac:dyDescent="0.3">
      <c r="A888" s="1">
        <v>100982</v>
      </c>
      <c r="B888" s="2">
        <v>45057</v>
      </c>
      <c r="C888" s="1" t="s">
        <v>927</v>
      </c>
      <c r="D888" s="1" t="s">
        <v>66</v>
      </c>
      <c r="E888" s="1" t="s">
        <v>17</v>
      </c>
      <c r="F888" s="1" t="s">
        <v>1237</v>
      </c>
      <c r="G888" s="1" t="s">
        <v>18</v>
      </c>
      <c r="H888" s="1">
        <v>2</v>
      </c>
      <c r="I888" s="1">
        <f>Table1[[#This Row],[Units_Sold]]*Table1[[#This Row],[Unit_Price]]</f>
        <v>245.94</v>
      </c>
      <c r="J888" s="1">
        <v>122.97</v>
      </c>
      <c r="K888" s="1">
        <v>0</v>
      </c>
      <c r="L888" s="1">
        <v>245.94</v>
      </c>
      <c r="M888" s="1">
        <v>78.62</v>
      </c>
      <c r="N888" s="1">
        <v>26</v>
      </c>
      <c r="O888" s="1" t="s">
        <v>26</v>
      </c>
      <c r="P888" s="1" t="s">
        <v>51</v>
      </c>
    </row>
    <row r="889" spans="1:16" x14ac:dyDescent="0.3">
      <c r="A889" s="1">
        <v>100744</v>
      </c>
      <c r="B889" s="2">
        <v>44957</v>
      </c>
      <c r="C889" s="1" t="s">
        <v>928</v>
      </c>
      <c r="D889" s="1" t="s">
        <v>87</v>
      </c>
      <c r="E889" s="1" t="s">
        <v>25</v>
      </c>
      <c r="F889" s="1" t="s">
        <v>1239</v>
      </c>
      <c r="G889" s="1" t="s">
        <v>31</v>
      </c>
      <c r="H889" s="1">
        <v>1</v>
      </c>
      <c r="I889" s="1">
        <f>Table1[[#This Row],[Units_Sold]]*Table1[[#This Row],[Unit_Price]]</f>
        <v>81.45</v>
      </c>
      <c r="J889" s="1">
        <v>81.45</v>
      </c>
      <c r="K889" s="1">
        <v>0</v>
      </c>
      <c r="L889" s="1">
        <v>81.45</v>
      </c>
      <c r="M889" s="1">
        <v>26.5</v>
      </c>
      <c r="N889" s="1">
        <v>45</v>
      </c>
      <c r="O889" s="1" t="s">
        <v>26</v>
      </c>
      <c r="P889" s="1" t="s">
        <v>35</v>
      </c>
    </row>
    <row r="890" spans="1:16" x14ac:dyDescent="0.3">
      <c r="A890" s="1">
        <v>101151</v>
      </c>
      <c r="B890" s="2">
        <v>45824</v>
      </c>
      <c r="C890" s="1" t="s">
        <v>929</v>
      </c>
      <c r="D890" s="1" t="s">
        <v>87</v>
      </c>
      <c r="E890" s="1" t="s">
        <v>25</v>
      </c>
      <c r="F890" s="1" t="s">
        <v>1241</v>
      </c>
      <c r="G890" s="1" t="s">
        <v>48</v>
      </c>
      <c r="H890" s="1">
        <v>3</v>
      </c>
      <c r="I890" s="1">
        <f>Table1[[#This Row],[Units_Sold]]*Table1[[#This Row],[Unit_Price]]</f>
        <v>268.95000000000005</v>
      </c>
      <c r="J890" s="1">
        <v>89.65</v>
      </c>
      <c r="K890" s="1">
        <v>0</v>
      </c>
      <c r="L890" s="1">
        <v>268.95</v>
      </c>
      <c r="M890" s="1">
        <v>98.54</v>
      </c>
      <c r="N890" s="1">
        <v>47</v>
      </c>
      <c r="O890" s="1" t="s">
        <v>26</v>
      </c>
      <c r="P890" s="1" t="s">
        <v>81</v>
      </c>
    </row>
    <row r="891" spans="1:16" x14ac:dyDescent="0.3">
      <c r="A891" s="1">
        <v>100517</v>
      </c>
      <c r="B891" s="2">
        <v>45726</v>
      </c>
      <c r="C891" s="1" t="s">
        <v>930</v>
      </c>
      <c r="D891" s="1" t="s">
        <v>59</v>
      </c>
      <c r="E891" s="1" t="s">
        <v>17</v>
      </c>
      <c r="F891" s="1" t="s">
        <v>1238</v>
      </c>
      <c r="G891" s="1" t="s">
        <v>31</v>
      </c>
      <c r="H891" s="1">
        <v>4</v>
      </c>
      <c r="I891" s="1">
        <f>Table1[[#This Row],[Units_Sold]]*Table1[[#This Row],[Unit_Price]]</f>
        <v>127.88</v>
      </c>
      <c r="J891" s="1">
        <v>31.97</v>
      </c>
      <c r="K891" s="1">
        <v>0</v>
      </c>
      <c r="L891" s="1">
        <v>127.88</v>
      </c>
      <c r="M891" s="1">
        <v>31.84</v>
      </c>
      <c r="N891" s="1">
        <v>28</v>
      </c>
      <c r="O891" s="1" t="s">
        <v>26</v>
      </c>
      <c r="P891" s="1" t="s">
        <v>81</v>
      </c>
    </row>
    <row r="892" spans="1:16" x14ac:dyDescent="0.3">
      <c r="A892" s="1">
        <v>100372</v>
      </c>
      <c r="B892" s="2">
        <v>45233</v>
      </c>
      <c r="C892" s="1" t="s">
        <v>931</v>
      </c>
      <c r="D892" s="1" t="s">
        <v>24</v>
      </c>
      <c r="E892" s="1" t="s">
        <v>25</v>
      </c>
      <c r="F892" s="1" t="s">
        <v>1239</v>
      </c>
      <c r="G892" s="1" t="s">
        <v>18</v>
      </c>
      <c r="H892" s="1">
        <v>3</v>
      </c>
      <c r="I892" s="1">
        <f>Table1[[#This Row],[Units_Sold]]*Table1[[#This Row],[Unit_Price]]</f>
        <v>270.71999999999997</v>
      </c>
      <c r="J892" s="1">
        <v>90.24</v>
      </c>
      <c r="K892" s="1">
        <v>5</v>
      </c>
      <c r="L892" s="1">
        <v>257.18</v>
      </c>
      <c r="M892" s="1">
        <v>88.24</v>
      </c>
      <c r="N892" s="1">
        <v>25</v>
      </c>
      <c r="O892" s="1" t="s">
        <v>19</v>
      </c>
      <c r="P892" s="1" t="s">
        <v>35</v>
      </c>
    </row>
    <row r="893" spans="1:16" x14ac:dyDescent="0.3">
      <c r="A893" s="1">
        <v>100045</v>
      </c>
      <c r="B893" s="2">
        <v>45565</v>
      </c>
      <c r="C893" s="1" t="s">
        <v>932</v>
      </c>
      <c r="D893" s="1" t="s">
        <v>66</v>
      </c>
      <c r="E893" s="1" t="s">
        <v>17</v>
      </c>
      <c r="F893" s="1" t="s">
        <v>1241</v>
      </c>
      <c r="G893" s="1" t="s">
        <v>48</v>
      </c>
      <c r="H893" s="1">
        <v>2</v>
      </c>
      <c r="I893" s="1">
        <f>Table1[[#This Row],[Units_Sold]]*Table1[[#This Row],[Unit_Price]]</f>
        <v>256.62</v>
      </c>
      <c r="J893" s="1">
        <v>128.31</v>
      </c>
      <c r="K893" s="1">
        <v>0</v>
      </c>
      <c r="L893" s="1">
        <v>256.62</v>
      </c>
      <c r="M893" s="1">
        <v>64.540000000000006</v>
      </c>
      <c r="N893" s="1">
        <v>24</v>
      </c>
      <c r="O893" s="1" t="s">
        <v>26</v>
      </c>
      <c r="P893" s="1" t="s">
        <v>32</v>
      </c>
    </row>
    <row r="894" spans="1:16" x14ac:dyDescent="0.3">
      <c r="A894" s="1">
        <v>100476</v>
      </c>
      <c r="B894" s="2">
        <v>45191</v>
      </c>
      <c r="C894" s="1" t="s">
        <v>933</v>
      </c>
      <c r="D894" s="1" t="s">
        <v>42</v>
      </c>
      <c r="E894" s="1" t="s">
        <v>25</v>
      </c>
      <c r="F894" s="1" t="s">
        <v>1238</v>
      </c>
      <c r="G894" s="1" t="s">
        <v>64</v>
      </c>
      <c r="H894" s="1">
        <v>3</v>
      </c>
      <c r="I894" s="1">
        <f>Table1[[#This Row],[Units_Sold]]*Table1[[#This Row],[Unit_Price]]</f>
        <v>471.65999999999997</v>
      </c>
      <c r="J894" s="1">
        <v>157.22</v>
      </c>
      <c r="K894" s="1">
        <v>0</v>
      </c>
      <c r="L894" s="1">
        <v>471.66</v>
      </c>
      <c r="M894" s="1">
        <v>134.22</v>
      </c>
      <c r="N894" s="1">
        <v>28</v>
      </c>
      <c r="O894" s="1" t="s">
        <v>19</v>
      </c>
      <c r="P894" s="1" t="s">
        <v>20</v>
      </c>
    </row>
    <row r="895" spans="1:16" x14ac:dyDescent="0.3">
      <c r="A895" s="1">
        <v>100157</v>
      </c>
      <c r="B895" s="2">
        <v>44945</v>
      </c>
      <c r="C895" s="1" t="s">
        <v>934</v>
      </c>
      <c r="D895" s="1" t="s">
        <v>59</v>
      </c>
      <c r="E895" s="1" t="s">
        <v>17</v>
      </c>
      <c r="F895" s="1" t="s">
        <v>1240</v>
      </c>
      <c r="G895" s="1" t="s">
        <v>18</v>
      </c>
      <c r="H895" s="1">
        <v>4</v>
      </c>
      <c r="I895" s="1">
        <f>Table1[[#This Row],[Units_Sold]]*Table1[[#This Row],[Unit_Price]]</f>
        <v>108.4</v>
      </c>
      <c r="J895" s="1">
        <v>27.1</v>
      </c>
      <c r="K895" s="1">
        <v>5</v>
      </c>
      <c r="L895" s="1">
        <v>102.98</v>
      </c>
      <c r="M895" s="1">
        <v>27.81</v>
      </c>
      <c r="N895" s="1">
        <v>23</v>
      </c>
      <c r="O895" s="1" t="s">
        <v>19</v>
      </c>
      <c r="P895" s="1" t="s">
        <v>51</v>
      </c>
    </row>
    <row r="896" spans="1:16" x14ac:dyDescent="0.3">
      <c r="A896" s="1">
        <v>101046</v>
      </c>
      <c r="B896" s="2">
        <v>45548</v>
      </c>
      <c r="C896" s="1" t="s">
        <v>935</v>
      </c>
      <c r="D896" s="1" t="s">
        <v>22</v>
      </c>
      <c r="E896" s="1" t="s">
        <v>17</v>
      </c>
      <c r="F896" s="1" t="s">
        <v>1241</v>
      </c>
      <c r="G896" s="1" t="s">
        <v>31</v>
      </c>
      <c r="H896" s="1">
        <v>1</v>
      </c>
      <c r="I896" s="1">
        <f>Table1[[#This Row],[Units_Sold]]*Table1[[#This Row],[Unit_Price]]</f>
        <v>21.96</v>
      </c>
      <c r="J896" s="1">
        <v>21.96</v>
      </c>
      <c r="K896" s="1">
        <v>20</v>
      </c>
      <c r="L896" s="1">
        <v>17.57</v>
      </c>
      <c r="M896" s="1">
        <v>5.92</v>
      </c>
      <c r="N896" s="1">
        <v>23</v>
      </c>
      <c r="O896" s="1" t="s">
        <v>19</v>
      </c>
      <c r="P896" s="1" t="s">
        <v>81</v>
      </c>
    </row>
    <row r="897" spans="1:16" x14ac:dyDescent="0.3">
      <c r="A897" s="1">
        <v>100171</v>
      </c>
      <c r="B897" s="2">
        <v>45118</v>
      </c>
      <c r="C897" s="1" t="s">
        <v>936</v>
      </c>
      <c r="D897" s="1" t="s">
        <v>24</v>
      </c>
      <c r="E897" s="1" t="s">
        <v>25</v>
      </c>
      <c r="F897" s="1" t="s">
        <v>1238</v>
      </c>
      <c r="G897" s="1" t="s">
        <v>64</v>
      </c>
      <c r="H897" s="1">
        <v>3</v>
      </c>
      <c r="I897" s="1">
        <f>Table1[[#This Row],[Units_Sold]]*Table1[[#This Row],[Unit_Price]]</f>
        <v>254.21999999999997</v>
      </c>
      <c r="J897" s="1">
        <v>84.74</v>
      </c>
      <c r="K897" s="1">
        <v>0</v>
      </c>
      <c r="L897" s="1">
        <v>254.22</v>
      </c>
      <c r="M897" s="1">
        <v>79.44</v>
      </c>
      <c r="N897" s="1">
        <v>42</v>
      </c>
      <c r="O897" s="1" t="s">
        <v>26</v>
      </c>
      <c r="P897" s="1" t="s">
        <v>81</v>
      </c>
    </row>
    <row r="898" spans="1:16" x14ac:dyDescent="0.3">
      <c r="A898" s="1">
        <v>100016</v>
      </c>
      <c r="B898" s="2">
        <v>45058</v>
      </c>
      <c r="C898" s="1" t="s">
        <v>937</v>
      </c>
      <c r="D898" s="1" t="s">
        <v>53</v>
      </c>
      <c r="E898" s="1" t="s">
        <v>30</v>
      </c>
      <c r="F898" s="1" t="s">
        <v>1241</v>
      </c>
      <c r="G898" s="1" t="s">
        <v>31</v>
      </c>
      <c r="H898" s="1">
        <v>6</v>
      </c>
      <c r="I898" s="1">
        <f>Table1[[#This Row],[Units_Sold]]*Table1[[#This Row],[Unit_Price]]</f>
        <v>123.47999999999999</v>
      </c>
      <c r="J898" s="1">
        <v>20.58</v>
      </c>
      <c r="K898" s="1">
        <v>0</v>
      </c>
      <c r="L898" s="1">
        <v>123.48</v>
      </c>
      <c r="M898" s="1">
        <v>36.409999999999997</v>
      </c>
      <c r="N898" s="1">
        <v>30</v>
      </c>
      <c r="O898" s="1" t="s">
        <v>19</v>
      </c>
      <c r="P898" s="1" t="s">
        <v>51</v>
      </c>
    </row>
    <row r="899" spans="1:16" x14ac:dyDescent="0.3">
      <c r="A899" s="1">
        <v>100511</v>
      </c>
      <c r="B899" s="2">
        <v>45183</v>
      </c>
      <c r="C899" s="1" t="s">
        <v>938</v>
      </c>
      <c r="D899" s="1" t="s">
        <v>45</v>
      </c>
      <c r="E899" s="1" t="s">
        <v>30</v>
      </c>
      <c r="F899" s="1" t="s">
        <v>1241</v>
      </c>
      <c r="G899" s="1" t="s">
        <v>18</v>
      </c>
      <c r="H899" s="1">
        <v>2</v>
      </c>
      <c r="I899" s="1">
        <f>Table1[[#This Row],[Units_Sold]]*Table1[[#This Row],[Unit_Price]]</f>
        <v>34.04</v>
      </c>
      <c r="J899" s="1">
        <v>17.02</v>
      </c>
      <c r="K899" s="1">
        <v>0</v>
      </c>
      <c r="L899" s="1">
        <v>34.04</v>
      </c>
      <c r="M899" s="1">
        <v>15.97</v>
      </c>
      <c r="N899" s="1">
        <v>25</v>
      </c>
      <c r="O899" s="1" t="s">
        <v>26</v>
      </c>
      <c r="P899" s="1" t="s">
        <v>51</v>
      </c>
    </row>
    <row r="900" spans="1:16" x14ac:dyDescent="0.3">
      <c r="A900" s="1">
        <v>100048</v>
      </c>
      <c r="B900" s="2">
        <v>45379</v>
      </c>
      <c r="C900" s="1" t="s">
        <v>939</v>
      </c>
      <c r="D900" s="1" t="s">
        <v>73</v>
      </c>
      <c r="E900" s="1" t="s">
        <v>25</v>
      </c>
      <c r="F900" s="1" t="s">
        <v>1237</v>
      </c>
      <c r="G900" s="1" t="s">
        <v>64</v>
      </c>
      <c r="H900" s="1">
        <v>2</v>
      </c>
      <c r="I900" s="1">
        <f>Table1[[#This Row],[Units_Sold]]*Table1[[#This Row],[Unit_Price]]</f>
        <v>72.48</v>
      </c>
      <c r="J900" s="1">
        <v>36.24</v>
      </c>
      <c r="K900" s="1">
        <v>0</v>
      </c>
      <c r="L900" s="1">
        <v>72.48</v>
      </c>
      <c r="M900" s="1">
        <v>24.55</v>
      </c>
      <c r="N900" s="1">
        <v>16</v>
      </c>
      <c r="O900" s="1" t="s">
        <v>19</v>
      </c>
      <c r="P900" s="1" t="s">
        <v>27</v>
      </c>
    </row>
    <row r="901" spans="1:16" x14ac:dyDescent="0.3">
      <c r="A901" s="1">
        <v>100191</v>
      </c>
      <c r="B901" s="2">
        <v>45441</v>
      </c>
      <c r="C901" s="1" t="s">
        <v>940</v>
      </c>
      <c r="D901" s="1" t="s">
        <v>70</v>
      </c>
      <c r="E901" s="1" t="s">
        <v>25</v>
      </c>
      <c r="F901" s="1" t="s">
        <v>1238</v>
      </c>
      <c r="G901" s="1" t="s">
        <v>18</v>
      </c>
      <c r="H901" s="1">
        <v>3</v>
      </c>
      <c r="I901" s="1">
        <f>Table1[[#This Row],[Units_Sold]]*Table1[[#This Row],[Unit_Price]]</f>
        <v>473.07</v>
      </c>
      <c r="J901" s="1">
        <v>157.69</v>
      </c>
      <c r="K901" s="1">
        <v>0</v>
      </c>
      <c r="L901" s="1">
        <v>473.07</v>
      </c>
      <c r="M901" s="1">
        <v>148.44</v>
      </c>
      <c r="N901" s="1">
        <v>23</v>
      </c>
      <c r="O901" s="1" t="s">
        <v>26</v>
      </c>
      <c r="P901" s="1" t="s">
        <v>51</v>
      </c>
    </row>
    <row r="902" spans="1:16" x14ac:dyDescent="0.3">
      <c r="A902" s="1">
        <v>100546</v>
      </c>
      <c r="B902" s="2">
        <v>45465</v>
      </c>
      <c r="C902" s="1" t="s">
        <v>941</v>
      </c>
      <c r="D902" s="1" t="s">
        <v>100</v>
      </c>
      <c r="E902" s="1" t="s">
        <v>25</v>
      </c>
      <c r="F902" s="1" t="s">
        <v>1241</v>
      </c>
      <c r="G902" s="1" t="s">
        <v>18</v>
      </c>
      <c r="H902" s="1">
        <v>6</v>
      </c>
      <c r="I902" s="1">
        <f>Table1[[#This Row],[Units_Sold]]*Table1[[#This Row],[Unit_Price]]</f>
        <v>823.37999999999988</v>
      </c>
      <c r="J902" s="1">
        <v>137.22999999999999</v>
      </c>
      <c r="K902" s="1">
        <v>0</v>
      </c>
      <c r="L902" s="1">
        <v>823.38</v>
      </c>
      <c r="M902" s="1">
        <v>186.82</v>
      </c>
      <c r="N902" s="1">
        <v>22</v>
      </c>
      <c r="O902" s="1" t="s">
        <v>19</v>
      </c>
      <c r="P902" s="1" t="s">
        <v>27</v>
      </c>
    </row>
    <row r="903" spans="1:16" x14ac:dyDescent="0.3">
      <c r="A903" s="1">
        <v>100515</v>
      </c>
      <c r="B903" s="2">
        <v>45816</v>
      </c>
      <c r="C903" s="1" t="s">
        <v>942</v>
      </c>
      <c r="D903" s="1" t="s">
        <v>42</v>
      </c>
      <c r="E903" s="1" t="s">
        <v>25</v>
      </c>
      <c r="F903" s="1" t="s">
        <v>1239</v>
      </c>
      <c r="G903" s="1" t="s">
        <v>18</v>
      </c>
      <c r="H903" s="1">
        <v>5</v>
      </c>
      <c r="I903" s="1">
        <f>Table1[[#This Row],[Units_Sold]]*Table1[[#This Row],[Unit_Price]]</f>
        <v>790.45</v>
      </c>
      <c r="J903" s="1">
        <v>158.09</v>
      </c>
      <c r="K903" s="1">
        <v>0</v>
      </c>
      <c r="L903" s="1">
        <v>790.45</v>
      </c>
      <c r="M903" s="1">
        <v>262.02</v>
      </c>
      <c r="N903" s="1">
        <v>23</v>
      </c>
      <c r="O903" s="1" t="s">
        <v>19</v>
      </c>
      <c r="P903" s="1" t="s">
        <v>32</v>
      </c>
    </row>
    <row r="904" spans="1:16" x14ac:dyDescent="0.3">
      <c r="A904" s="1">
        <v>100977</v>
      </c>
      <c r="B904" s="2">
        <v>45420</v>
      </c>
      <c r="C904" s="1" t="s">
        <v>943</v>
      </c>
      <c r="D904" s="1" t="s">
        <v>45</v>
      </c>
      <c r="E904" s="1" t="s">
        <v>30</v>
      </c>
      <c r="F904" s="1" t="s">
        <v>1241</v>
      </c>
      <c r="G904" s="1" t="s">
        <v>31</v>
      </c>
      <c r="H904" s="1">
        <v>2</v>
      </c>
      <c r="I904" s="1">
        <f>Table1[[#This Row],[Units_Sold]]*Table1[[#This Row],[Unit_Price]]</f>
        <v>28.78</v>
      </c>
      <c r="J904" s="1">
        <v>14.39</v>
      </c>
      <c r="K904" s="1">
        <v>20</v>
      </c>
      <c r="L904" s="1">
        <v>23.02</v>
      </c>
      <c r="M904" s="1">
        <v>10.47</v>
      </c>
      <c r="N904" s="1">
        <v>30</v>
      </c>
      <c r="O904" s="1" t="s">
        <v>19</v>
      </c>
      <c r="P904" s="1" t="s">
        <v>27</v>
      </c>
    </row>
    <row r="905" spans="1:16" x14ac:dyDescent="0.3">
      <c r="A905" s="1">
        <v>100938</v>
      </c>
      <c r="B905" s="2">
        <v>45338</v>
      </c>
      <c r="C905" s="1" t="s">
        <v>944</v>
      </c>
      <c r="D905" s="1" t="s">
        <v>66</v>
      </c>
      <c r="E905" s="1" t="s">
        <v>17</v>
      </c>
      <c r="F905" s="1" t="s">
        <v>1241</v>
      </c>
      <c r="G905" s="1" t="s">
        <v>18</v>
      </c>
      <c r="H905" s="1">
        <v>4</v>
      </c>
      <c r="I905" s="1">
        <f>Table1[[#This Row],[Units_Sold]]*Table1[[#This Row],[Unit_Price]]</f>
        <v>473.36</v>
      </c>
      <c r="J905" s="1">
        <v>118.34</v>
      </c>
      <c r="K905" s="1">
        <v>10</v>
      </c>
      <c r="L905" s="1">
        <v>426.02</v>
      </c>
      <c r="M905" s="1">
        <v>110.94</v>
      </c>
      <c r="N905" s="1">
        <v>25</v>
      </c>
      <c r="O905" s="1" t="s">
        <v>19</v>
      </c>
      <c r="P905" s="1" t="s">
        <v>20</v>
      </c>
    </row>
    <row r="906" spans="1:16" x14ac:dyDescent="0.3">
      <c r="A906" s="1">
        <v>100828</v>
      </c>
      <c r="B906" s="2">
        <v>45652</v>
      </c>
      <c r="C906" s="1" t="s">
        <v>945</v>
      </c>
      <c r="D906" s="1" t="s">
        <v>29</v>
      </c>
      <c r="E906" s="1" t="s">
        <v>30</v>
      </c>
      <c r="F906" s="1" t="s">
        <v>1238</v>
      </c>
      <c r="G906" s="1" t="s">
        <v>48</v>
      </c>
      <c r="H906" s="1">
        <v>3</v>
      </c>
      <c r="I906" s="1">
        <f>Table1[[#This Row],[Units_Sold]]*Table1[[#This Row],[Unit_Price]]</f>
        <v>59.91</v>
      </c>
      <c r="J906" s="1">
        <v>19.97</v>
      </c>
      <c r="K906" s="1">
        <v>0</v>
      </c>
      <c r="L906" s="1">
        <v>59.91</v>
      </c>
      <c r="M906" s="1">
        <v>15.22</v>
      </c>
      <c r="N906" s="1">
        <v>23</v>
      </c>
      <c r="O906" s="1" t="s">
        <v>26</v>
      </c>
      <c r="P906" s="1" t="s">
        <v>43</v>
      </c>
    </row>
    <row r="907" spans="1:16" x14ac:dyDescent="0.3">
      <c r="A907" s="1">
        <v>100983</v>
      </c>
      <c r="B907" s="2">
        <v>45254</v>
      </c>
      <c r="C907" s="1" t="s">
        <v>946</v>
      </c>
      <c r="D907" s="1" t="s">
        <v>59</v>
      </c>
      <c r="E907" s="1" t="s">
        <v>17</v>
      </c>
      <c r="F907" s="1" t="s">
        <v>1240</v>
      </c>
      <c r="G907" s="1" t="s">
        <v>18</v>
      </c>
      <c r="H907" s="1">
        <v>2</v>
      </c>
      <c r="I907" s="1">
        <f>Table1[[#This Row],[Units_Sold]]*Table1[[#This Row],[Unit_Price]]</f>
        <v>63.92</v>
      </c>
      <c r="J907" s="1">
        <v>31.96</v>
      </c>
      <c r="K907" s="1">
        <v>0</v>
      </c>
      <c r="L907" s="1">
        <v>63.92</v>
      </c>
      <c r="M907" s="1">
        <v>12.04</v>
      </c>
      <c r="N907" s="1">
        <v>25</v>
      </c>
      <c r="O907" s="1" t="s">
        <v>19</v>
      </c>
      <c r="P907" s="1" t="s">
        <v>51</v>
      </c>
    </row>
    <row r="908" spans="1:16" x14ac:dyDescent="0.3">
      <c r="A908" s="1">
        <v>100480</v>
      </c>
      <c r="B908" s="2">
        <v>45850</v>
      </c>
      <c r="C908" s="1" t="s">
        <v>947</v>
      </c>
      <c r="D908" s="1" t="s">
        <v>100</v>
      </c>
      <c r="E908" s="1" t="s">
        <v>25</v>
      </c>
      <c r="F908" s="1" t="s">
        <v>1239</v>
      </c>
      <c r="G908" s="1" t="s">
        <v>31</v>
      </c>
      <c r="H908" s="1">
        <v>2</v>
      </c>
      <c r="I908" s="1">
        <f>Table1[[#This Row],[Units_Sold]]*Table1[[#This Row],[Unit_Price]]</f>
        <v>253.02</v>
      </c>
      <c r="J908" s="1">
        <v>126.51</v>
      </c>
      <c r="K908" s="1">
        <v>0</v>
      </c>
      <c r="L908" s="1">
        <v>253.02</v>
      </c>
      <c r="M908" s="1">
        <v>65.92</v>
      </c>
      <c r="N908" s="1">
        <v>26</v>
      </c>
      <c r="O908" s="1" t="s">
        <v>19</v>
      </c>
      <c r="P908" s="1" t="s">
        <v>27</v>
      </c>
    </row>
    <row r="909" spans="1:16" x14ac:dyDescent="0.3">
      <c r="A909" s="1">
        <v>101128</v>
      </c>
      <c r="B909" s="2">
        <v>45420</v>
      </c>
      <c r="C909" s="1" t="s">
        <v>948</v>
      </c>
      <c r="D909" s="1" t="s">
        <v>73</v>
      </c>
      <c r="E909" s="1" t="s">
        <v>25</v>
      </c>
      <c r="F909" s="1" t="s">
        <v>1238</v>
      </c>
      <c r="G909" s="1" t="s">
        <v>31</v>
      </c>
      <c r="H909" s="1">
        <v>2</v>
      </c>
      <c r="I909" s="1">
        <f>Table1[[#This Row],[Units_Sold]]*Table1[[#This Row],[Unit_Price]]</f>
        <v>69.38</v>
      </c>
      <c r="J909" s="1">
        <v>34.69</v>
      </c>
      <c r="K909" s="1">
        <v>0</v>
      </c>
      <c r="L909" s="1">
        <v>69.38</v>
      </c>
      <c r="M909" s="1">
        <v>19.8</v>
      </c>
      <c r="N909" s="1">
        <v>29</v>
      </c>
      <c r="O909" s="1" t="s">
        <v>26</v>
      </c>
      <c r="P909" s="1" t="s">
        <v>46</v>
      </c>
    </row>
    <row r="910" spans="1:16" x14ac:dyDescent="0.3">
      <c r="A910" s="1">
        <v>100283</v>
      </c>
      <c r="B910" s="2">
        <v>45229</v>
      </c>
      <c r="C910" s="1" t="s">
        <v>949</v>
      </c>
      <c r="D910" s="1" t="s">
        <v>34</v>
      </c>
      <c r="E910" s="1" t="s">
        <v>30</v>
      </c>
      <c r="F910" s="1" t="s">
        <v>1241</v>
      </c>
      <c r="G910" s="1" t="s">
        <v>48</v>
      </c>
      <c r="H910" s="1">
        <v>2</v>
      </c>
      <c r="I910" s="1">
        <f>Table1[[#This Row],[Units_Sold]]*Table1[[#This Row],[Unit_Price]]</f>
        <v>132.12</v>
      </c>
      <c r="J910" s="1">
        <v>66.06</v>
      </c>
      <c r="K910" s="1">
        <v>0</v>
      </c>
      <c r="L910" s="1">
        <v>132.12</v>
      </c>
      <c r="M910" s="1">
        <v>38.5</v>
      </c>
      <c r="N910" s="1">
        <v>50</v>
      </c>
      <c r="O910" s="1" t="s">
        <v>19</v>
      </c>
      <c r="P910" s="1" t="s">
        <v>43</v>
      </c>
    </row>
    <row r="911" spans="1:16" x14ac:dyDescent="0.3">
      <c r="A911" s="1">
        <v>101029</v>
      </c>
      <c r="B911" s="2">
        <v>45048</v>
      </c>
      <c r="C911" s="1" t="s">
        <v>950</v>
      </c>
      <c r="D911" s="1" t="s">
        <v>34</v>
      </c>
      <c r="E911" s="1" t="s">
        <v>30</v>
      </c>
      <c r="F911" s="1" t="s">
        <v>1238</v>
      </c>
      <c r="G911" s="1" t="s">
        <v>31</v>
      </c>
      <c r="H911" s="1">
        <v>3</v>
      </c>
      <c r="I911" s="1">
        <f>Table1[[#This Row],[Units_Sold]]*Table1[[#This Row],[Unit_Price]]</f>
        <v>182.10000000000002</v>
      </c>
      <c r="J911" s="1">
        <v>60.7</v>
      </c>
      <c r="K911" s="1">
        <v>5</v>
      </c>
      <c r="L911" s="1">
        <v>173</v>
      </c>
      <c r="M911" s="1">
        <v>65.61</v>
      </c>
      <c r="N911" s="1">
        <v>34</v>
      </c>
      <c r="O911" s="1" t="s">
        <v>26</v>
      </c>
      <c r="P911" s="1" t="s">
        <v>32</v>
      </c>
    </row>
    <row r="912" spans="1:16" x14ac:dyDescent="0.3">
      <c r="A912" s="1">
        <v>100797</v>
      </c>
      <c r="B912" s="2">
        <v>45309</v>
      </c>
      <c r="C912" s="1" t="s">
        <v>951</v>
      </c>
      <c r="D912" s="1" t="s">
        <v>77</v>
      </c>
      <c r="E912" s="1" t="s">
        <v>30</v>
      </c>
      <c r="F912" s="1" t="s">
        <v>1241</v>
      </c>
      <c r="G912" s="1" t="s">
        <v>18</v>
      </c>
      <c r="H912" s="1">
        <v>4</v>
      </c>
      <c r="I912" s="1">
        <f>Table1[[#This Row],[Units_Sold]]*Table1[[#This Row],[Unit_Price]]</f>
        <v>162.56</v>
      </c>
      <c r="J912" s="1">
        <v>40.64</v>
      </c>
      <c r="K912" s="1">
        <v>0</v>
      </c>
      <c r="L912" s="1">
        <v>162.56</v>
      </c>
      <c r="M912" s="1">
        <v>27.91</v>
      </c>
      <c r="N912" s="1">
        <v>22</v>
      </c>
      <c r="O912" s="1" t="s">
        <v>26</v>
      </c>
      <c r="P912" s="1" t="s">
        <v>46</v>
      </c>
    </row>
    <row r="913" spans="1:16" x14ac:dyDescent="0.3">
      <c r="A913" s="1">
        <v>100939</v>
      </c>
      <c r="B913" s="2">
        <v>44995</v>
      </c>
      <c r="C913" s="1" t="s">
        <v>952</v>
      </c>
      <c r="D913" s="1" t="s">
        <v>73</v>
      </c>
      <c r="E913" s="1" t="s">
        <v>25</v>
      </c>
      <c r="F913" s="1" t="s">
        <v>1237</v>
      </c>
      <c r="G913" s="1" t="s">
        <v>31</v>
      </c>
      <c r="H913" s="1">
        <v>5</v>
      </c>
      <c r="I913" s="1">
        <f>Table1[[#This Row],[Units_Sold]]*Table1[[#This Row],[Unit_Price]]</f>
        <v>175.3</v>
      </c>
      <c r="J913" s="1">
        <v>35.06</v>
      </c>
      <c r="K913" s="1">
        <v>5</v>
      </c>
      <c r="L913" s="1">
        <v>166.53</v>
      </c>
      <c r="M913" s="1">
        <v>51.25</v>
      </c>
      <c r="N913" s="1">
        <v>33</v>
      </c>
      <c r="O913" s="1" t="s">
        <v>122</v>
      </c>
      <c r="P913" s="1" t="s">
        <v>35</v>
      </c>
    </row>
    <row r="914" spans="1:16" x14ac:dyDescent="0.3">
      <c r="A914" s="1">
        <v>100225</v>
      </c>
      <c r="B914" s="2">
        <v>45116</v>
      </c>
      <c r="C914" s="1" t="s">
        <v>953</v>
      </c>
      <c r="D914" s="1" t="s">
        <v>68</v>
      </c>
      <c r="E914" s="1" t="s">
        <v>25</v>
      </c>
      <c r="F914" s="1" t="s">
        <v>1240</v>
      </c>
      <c r="G914" s="1" t="s">
        <v>18</v>
      </c>
      <c r="H914" s="1">
        <v>2</v>
      </c>
      <c r="I914" s="1">
        <f>Table1[[#This Row],[Units_Sold]]*Table1[[#This Row],[Unit_Price]]</f>
        <v>467.22</v>
      </c>
      <c r="J914" s="1">
        <v>233.61</v>
      </c>
      <c r="K914" s="1">
        <v>5</v>
      </c>
      <c r="L914" s="1">
        <v>443.86</v>
      </c>
      <c r="M914" s="1">
        <v>130.18</v>
      </c>
      <c r="N914" s="1">
        <v>28</v>
      </c>
      <c r="O914" s="1" t="s">
        <v>26</v>
      </c>
      <c r="P914" s="1" t="s">
        <v>46</v>
      </c>
    </row>
    <row r="915" spans="1:16" x14ac:dyDescent="0.3">
      <c r="A915" s="1">
        <v>100026</v>
      </c>
      <c r="B915" s="2">
        <v>45085</v>
      </c>
      <c r="C915" s="1" t="s">
        <v>954</v>
      </c>
      <c r="D915" s="1" t="s">
        <v>73</v>
      </c>
      <c r="E915" s="1" t="s">
        <v>25</v>
      </c>
      <c r="F915" s="1" t="s">
        <v>1240</v>
      </c>
      <c r="G915" s="1" t="s">
        <v>31</v>
      </c>
      <c r="H915" s="1">
        <v>4</v>
      </c>
      <c r="I915" s="1">
        <f>Table1[[#This Row],[Units_Sold]]*Table1[[#This Row],[Unit_Price]]</f>
        <v>128.12</v>
      </c>
      <c r="J915" s="1">
        <v>32.03</v>
      </c>
      <c r="K915" s="1">
        <v>5</v>
      </c>
      <c r="L915" s="1">
        <v>121.71</v>
      </c>
      <c r="M915" s="1">
        <v>39.4</v>
      </c>
      <c r="N915" s="1">
        <v>23</v>
      </c>
      <c r="O915" s="1" t="s">
        <v>26</v>
      </c>
      <c r="P915" s="1" t="s">
        <v>43</v>
      </c>
    </row>
    <row r="916" spans="1:16" x14ac:dyDescent="0.3">
      <c r="A916" s="1">
        <v>100282</v>
      </c>
      <c r="B916" s="2">
        <v>45327</v>
      </c>
      <c r="C916" s="1" t="s">
        <v>955</v>
      </c>
      <c r="D916" s="1" t="s">
        <v>29</v>
      </c>
      <c r="E916" s="1" t="s">
        <v>30</v>
      </c>
      <c r="F916" s="1" t="s">
        <v>1237</v>
      </c>
      <c r="G916" s="1" t="s">
        <v>31</v>
      </c>
      <c r="H916" s="1">
        <v>2</v>
      </c>
      <c r="I916" s="1">
        <f>Table1[[#This Row],[Units_Sold]]*Table1[[#This Row],[Unit_Price]]</f>
        <v>31.92</v>
      </c>
      <c r="J916" s="1">
        <v>15.96</v>
      </c>
      <c r="K916" s="1">
        <v>0</v>
      </c>
      <c r="L916" s="1">
        <v>31.92</v>
      </c>
      <c r="M916" s="1">
        <v>6.6</v>
      </c>
      <c r="N916" s="1">
        <v>17</v>
      </c>
      <c r="O916" s="1" t="s">
        <v>26</v>
      </c>
      <c r="P916" s="1" t="s">
        <v>81</v>
      </c>
    </row>
    <row r="917" spans="1:16" x14ac:dyDescent="0.3">
      <c r="A917" s="1">
        <v>101149</v>
      </c>
      <c r="B917" s="2">
        <v>45795</v>
      </c>
      <c r="C917" s="1" t="s">
        <v>956</v>
      </c>
      <c r="D917" s="1" t="s">
        <v>56</v>
      </c>
      <c r="E917" s="1" t="s">
        <v>30</v>
      </c>
      <c r="F917" s="1" t="s">
        <v>1241</v>
      </c>
      <c r="G917" s="1" t="s">
        <v>48</v>
      </c>
      <c r="H917" s="1">
        <v>1</v>
      </c>
      <c r="I917" s="1">
        <f>Table1[[#This Row],[Units_Sold]]*Table1[[#This Row],[Unit_Price]]</f>
        <v>40.53</v>
      </c>
      <c r="J917" s="1">
        <v>40.53</v>
      </c>
      <c r="K917" s="1">
        <v>10</v>
      </c>
      <c r="L917" s="1">
        <v>36.479999999999997</v>
      </c>
      <c r="M917" s="1">
        <v>14.82</v>
      </c>
      <c r="N917" s="1">
        <v>25</v>
      </c>
      <c r="O917" s="1" t="s">
        <v>26</v>
      </c>
      <c r="P917" s="1" t="s">
        <v>46</v>
      </c>
    </row>
    <row r="918" spans="1:16" x14ac:dyDescent="0.3">
      <c r="A918" s="1">
        <v>100437</v>
      </c>
      <c r="B918" s="2">
        <v>45825</v>
      </c>
      <c r="C918" s="1" t="s">
        <v>957</v>
      </c>
      <c r="D918" s="1" t="s">
        <v>34</v>
      </c>
      <c r="E918" s="1" t="s">
        <v>30</v>
      </c>
      <c r="F918" s="1" t="s">
        <v>1238</v>
      </c>
      <c r="G918" s="1" t="s">
        <v>18</v>
      </c>
      <c r="H918" s="1">
        <v>7</v>
      </c>
      <c r="I918" s="1">
        <f>Table1[[#This Row],[Units_Sold]]*Table1[[#This Row],[Unit_Price]]</f>
        <v>378.91</v>
      </c>
      <c r="J918" s="1">
        <v>54.13</v>
      </c>
      <c r="K918" s="1">
        <v>0</v>
      </c>
      <c r="L918" s="1">
        <v>378.91</v>
      </c>
      <c r="M918" s="1">
        <v>96.08</v>
      </c>
      <c r="N918" s="1">
        <v>26</v>
      </c>
      <c r="O918" s="1" t="s">
        <v>26</v>
      </c>
      <c r="P918" s="1" t="s">
        <v>81</v>
      </c>
    </row>
    <row r="919" spans="1:16" x14ac:dyDescent="0.3">
      <c r="A919" s="1">
        <v>101167</v>
      </c>
      <c r="B919" s="2">
        <v>45198</v>
      </c>
      <c r="C919" s="1" t="s">
        <v>958</v>
      </c>
      <c r="D919" s="1" t="s">
        <v>59</v>
      </c>
      <c r="E919" s="1" t="s">
        <v>17</v>
      </c>
      <c r="F919" s="1" t="s">
        <v>1238</v>
      </c>
      <c r="G919" s="1" t="s">
        <v>18</v>
      </c>
      <c r="H919" s="1">
        <v>4</v>
      </c>
      <c r="I919" s="1">
        <f>Table1[[#This Row],[Units_Sold]]*Table1[[#This Row],[Unit_Price]]</f>
        <v>120.16</v>
      </c>
      <c r="J919" s="1">
        <v>30.04</v>
      </c>
      <c r="K919" s="1">
        <v>0</v>
      </c>
      <c r="L919" s="1">
        <v>120.16</v>
      </c>
      <c r="M919" s="1">
        <v>21.39</v>
      </c>
      <c r="N919" s="1">
        <v>29</v>
      </c>
      <c r="O919" s="1" t="s">
        <v>122</v>
      </c>
      <c r="P919" s="1" t="s">
        <v>20</v>
      </c>
    </row>
    <row r="920" spans="1:16" x14ac:dyDescent="0.3">
      <c r="A920" s="1">
        <v>100364</v>
      </c>
      <c r="B920" s="2">
        <v>45273</v>
      </c>
      <c r="C920" s="1" t="s">
        <v>959</v>
      </c>
      <c r="D920" s="1" t="s">
        <v>100</v>
      </c>
      <c r="E920" s="1" t="s">
        <v>25</v>
      </c>
      <c r="F920" s="1" t="s">
        <v>1239</v>
      </c>
      <c r="G920" s="1" t="s">
        <v>31</v>
      </c>
      <c r="H920" s="1">
        <v>2</v>
      </c>
      <c r="I920" s="1">
        <f>Table1[[#This Row],[Units_Sold]]*Table1[[#This Row],[Unit_Price]]</f>
        <v>234.42</v>
      </c>
      <c r="J920" s="1">
        <v>117.21</v>
      </c>
      <c r="K920" s="1">
        <v>0</v>
      </c>
      <c r="L920" s="1">
        <v>234.42</v>
      </c>
      <c r="M920" s="1">
        <v>76.150000000000006</v>
      </c>
      <c r="N920" s="1">
        <v>51</v>
      </c>
      <c r="O920" s="1" t="s">
        <v>26</v>
      </c>
      <c r="P920" s="1" t="s">
        <v>35</v>
      </c>
    </row>
    <row r="921" spans="1:16" x14ac:dyDescent="0.3">
      <c r="A921" s="1">
        <v>100229</v>
      </c>
      <c r="B921" s="2">
        <v>45702</v>
      </c>
      <c r="C921" s="1" t="s">
        <v>960</v>
      </c>
      <c r="D921" s="1" t="s">
        <v>45</v>
      </c>
      <c r="E921" s="1" t="s">
        <v>30</v>
      </c>
      <c r="F921" s="1" t="s">
        <v>1237</v>
      </c>
      <c r="G921" s="1" t="s">
        <v>31</v>
      </c>
      <c r="H921" s="1">
        <v>4</v>
      </c>
      <c r="I921" s="1">
        <f>Table1[[#This Row],[Units_Sold]]*Table1[[#This Row],[Unit_Price]]</f>
        <v>68.400000000000006</v>
      </c>
      <c r="J921" s="1">
        <v>17.100000000000001</v>
      </c>
      <c r="K921" s="1">
        <v>0</v>
      </c>
      <c r="L921" s="1">
        <v>68.400000000000006</v>
      </c>
      <c r="M921" s="1">
        <v>19.13</v>
      </c>
      <c r="N921" s="1">
        <v>37</v>
      </c>
      <c r="O921" s="1" t="s">
        <v>19</v>
      </c>
      <c r="P921" s="1" t="s">
        <v>27</v>
      </c>
    </row>
    <row r="922" spans="1:16" x14ac:dyDescent="0.3">
      <c r="A922" s="1">
        <v>100037</v>
      </c>
      <c r="B922" s="2">
        <v>45300</v>
      </c>
      <c r="C922" s="1" t="s">
        <v>961</v>
      </c>
      <c r="D922" s="1" t="s">
        <v>70</v>
      </c>
      <c r="E922" s="1" t="s">
        <v>25</v>
      </c>
      <c r="F922" s="1" t="s">
        <v>1241</v>
      </c>
      <c r="G922" s="1" t="s">
        <v>18</v>
      </c>
      <c r="H922" s="1">
        <v>5</v>
      </c>
      <c r="I922" s="1">
        <f>Table1[[#This Row],[Units_Sold]]*Table1[[#This Row],[Unit_Price]]</f>
        <v>681.4</v>
      </c>
      <c r="J922" s="1">
        <v>136.28</v>
      </c>
      <c r="K922" s="1">
        <v>0</v>
      </c>
      <c r="L922" s="1">
        <v>681.4</v>
      </c>
      <c r="M922" s="1">
        <v>235.26</v>
      </c>
      <c r="N922" s="1">
        <v>25</v>
      </c>
      <c r="O922" s="1" t="s">
        <v>26</v>
      </c>
      <c r="P922" s="1" t="s">
        <v>32</v>
      </c>
    </row>
    <row r="923" spans="1:16" x14ac:dyDescent="0.3">
      <c r="A923" s="1">
        <v>100669</v>
      </c>
      <c r="B923" s="2">
        <v>45685</v>
      </c>
      <c r="C923" s="1" t="s">
        <v>962</v>
      </c>
      <c r="D923" s="1" t="s">
        <v>77</v>
      </c>
      <c r="E923" s="1" t="s">
        <v>30</v>
      </c>
      <c r="F923" s="1" t="s">
        <v>1241</v>
      </c>
      <c r="G923" s="1" t="s">
        <v>31</v>
      </c>
      <c r="H923" s="1">
        <v>1</v>
      </c>
      <c r="I923" s="1">
        <f>Table1[[#This Row],[Units_Sold]]*Table1[[#This Row],[Unit_Price]]</f>
        <v>36.090000000000003</v>
      </c>
      <c r="J923" s="1">
        <v>36.090000000000003</v>
      </c>
      <c r="K923" s="1">
        <v>20</v>
      </c>
      <c r="L923" s="1">
        <v>28.87</v>
      </c>
      <c r="M923" s="1">
        <v>6.52</v>
      </c>
      <c r="N923" s="1">
        <v>30</v>
      </c>
      <c r="O923" s="1" t="s">
        <v>26</v>
      </c>
      <c r="P923" s="1" t="s">
        <v>81</v>
      </c>
    </row>
    <row r="924" spans="1:16" x14ac:dyDescent="0.3">
      <c r="A924" s="1">
        <v>100749</v>
      </c>
      <c r="B924" s="2">
        <v>45414</v>
      </c>
      <c r="C924" s="1" t="s">
        <v>963</v>
      </c>
      <c r="D924" s="1" t="s">
        <v>45</v>
      </c>
      <c r="E924" s="1" t="s">
        <v>30</v>
      </c>
      <c r="F924" s="1" t="s">
        <v>1238</v>
      </c>
      <c r="G924" s="1" t="s">
        <v>18</v>
      </c>
      <c r="H924" s="1">
        <v>1</v>
      </c>
      <c r="I924" s="1">
        <f>Table1[[#This Row],[Units_Sold]]*Table1[[#This Row],[Unit_Price]]</f>
        <v>14.24</v>
      </c>
      <c r="J924" s="1">
        <v>14.24</v>
      </c>
      <c r="K924" s="1">
        <v>0</v>
      </c>
      <c r="L924" s="1">
        <v>14.24</v>
      </c>
      <c r="M924" s="1">
        <v>3.99</v>
      </c>
      <c r="N924" s="1">
        <v>25</v>
      </c>
      <c r="O924" s="1" t="s">
        <v>26</v>
      </c>
      <c r="P924" s="1" t="s">
        <v>32</v>
      </c>
    </row>
    <row r="925" spans="1:16" x14ac:dyDescent="0.3">
      <c r="A925" s="1">
        <v>101180</v>
      </c>
      <c r="B925" s="2">
        <v>45203</v>
      </c>
      <c r="C925" s="1" t="s">
        <v>964</v>
      </c>
      <c r="D925" s="1" t="s">
        <v>87</v>
      </c>
      <c r="E925" s="1" t="s">
        <v>25</v>
      </c>
      <c r="F925" s="1" t="s">
        <v>1241</v>
      </c>
      <c r="G925" s="1" t="s">
        <v>18</v>
      </c>
      <c r="H925" s="1">
        <v>3</v>
      </c>
      <c r="I925" s="1">
        <f>Table1[[#This Row],[Units_Sold]]*Table1[[#This Row],[Unit_Price]]</f>
        <v>284.19</v>
      </c>
      <c r="J925" s="1">
        <v>94.73</v>
      </c>
      <c r="K925" s="1">
        <v>5</v>
      </c>
      <c r="L925" s="1">
        <v>269.98</v>
      </c>
      <c r="M925" s="1">
        <v>77.91</v>
      </c>
      <c r="N925" s="1">
        <v>22</v>
      </c>
      <c r="O925" s="1" t="s">
        <v>26</v>
      </c>
      <c r="P925" s="1" t="s">
        <v>43</v>
      </c>
    </row>
    <row r="926" spans="1:16" x14ac:dyDescent="0.3">
      <c r="A926" s="1">
        <v>100374</v>
      </c>
      <c r="B926" s="2">
        <v>45781</v>
      </c>
      <c r="C926" s="1" t="s">
        <v>965</v>
      </c>
      <c r="D926" s="1" t="s">
        <v>100</v>
      </c>
      <c r="E926" s="1" t="s">
        <v>25</v>
      </c>
      <c r="F926" s="1" t="s">
        <v>1239</v>
      </c>
      <c r="G926" s="1" t="s">
        <v>48</v>
      </c>
      <c r="H926" s="1">
        <v>7</v>
      </c>
      <c r="I926" s="1">
        <f>Table1[[#This Row],[Units_Sold]]*Table1[[#This Row],[Unit_Price]]</f>
        <v>863.31</v>
      </c>
      <c r="J926" s="1">
        <v>123.33</v>
      </c>
      <c r="K926" s="1">
        <v>40</v>
      </c>
      <c r="L926" s="1">
        <v>517.99</v>
      </c>
      <c r="M926" s="1">
        <v>166.58</v>
      </c>
      <c r="N926" s="1">
        <v>23</v>
      </c>
      <c r="O926" s="1" t="s">
        <v>26</v>
      </c>
      <c r="P926" s="1" t="s">
        <v>32</v>
      </c>
    </row>
    <row r="927" spans="1:16" x14ac:dyDescent="0.3">
      <c r="A927" s="1">
        <v>100469</v>
      </c>
      <c r="B927" s="2">
        <v>45151</v>
      </c>
      <c r="C927" s="1" t="s">
        <v>966</v>
      </c>
      <c r="D927" s="1" t="s">
        <v>53</v>
      </c>
      <c r="E927" s="1" t="s">
        <v>30</v>
      </c>
      <c r="F927" s="1" t="s">
        <v>1241</v>
      </c>
      <c r="G927" s="1" t="s">
        <v>18</v>
      </c>
      <c r="H927" s="1">
        <v>3</v>
      </c>
      <c r="I927" s="1">
        <f>Table1[[#This Row],[Units_Sold]]*Table1[[#This Row],[Unit_Price]]</f>
        <v>67.800000000000011</v>
      </c>
      <c r="J927" s="1">
        <v>22.6</v>
      </c>
      <c r="K927" s="1">
        <v>20</v>
      </c>
      <c r="L927" s="1">
        <v>54.24</v>
      </c>
      <c r="M927" s="1">
        <v>14.07</v>
      </c>
      <c r="N927" s="1">
        <v>21</v>
      </c>
      <c r="O927" s="1" t="s">
        <v>19</v>
      </c>
      <c r="P927" s="1" t="s">
        <v>43</v>
      </c>
    </row>
    <row r="928" spans="1:16" x14ac:dyDescent="0.3">
      <c r="A928" s="1">
        <v>100882</v>
      </c>
      <c r="B928" s="2">
        <v>45908</v>
      </c>
      <c r="C928" s="1" t="s">
        <v>967</v>
      </c>
      <c r="D928" s="1" t="s">
        <v>66</v>
      </c>
      <c r="E928" s="1" t="s">
        <v>17</v>
      </c>
      <c r="F928" s="1" t="s">
        <v>1237</v>
      </c>
      <c r="G928" s="1" t="s">
        <v>31</v>
      </c>
      <c r="H928" s="1">
        <v>1</v>
      </c>
      <c r="I928" s="1">
        <f>Table1[[#This Row],[Units_Sold]]*Table1[[#This Row],[Unit_Price]]</f>
        <v>137.97999999999999</v>
      </c>
      <c r="J928" s="1">
        <v>137.97999999999999</v>
      </c>
      <c r="K928" s="1">
        <v>0</v>
      </c>
      <c r="L928" s="1">
        <v>137.97999999999999</v>
      </c>
      <c r="M928" s="1">
        <v>46.73</v>
      </c>
      <c r="N928" s="1">
        <v>35</v>
      </c>
      <c r="O928" s="1" t="s">
        <v>26</v>
      </c>
      <c r="P928" s="1" t="s">
        <v>27</v>
      </c>
    </row>
    <row r="929" spans="1:16" x14ac:dyDescent="0.3">
      <c r="A929" s="1">
        <v>101181</v>
      </c>
      <c r="B929" s="2">
        <v>45685</v>
      </c>
      <c r="C929" s="1" t="s">
        <v>968</v>
      </c>
      <c r="D929" s="1" t="s">
        <v>77</v>
      </c>
      <c r="E929" s="1" t="s">
        <v>30</v>
      </c>
      <c r="F929" s="1" t="s">
        <v>1237</v>
      </c>
      <c r="G929" s="1" t="s">
        <v>18</v>
      </c>
      <c r="H929" s="1">
        <v>1</v>
      </c>
      <c r="I929" s="1">
        <f>Table1[[#This Row],[Units_Sold]]*Table1[[#This Row],[Unit_Price]]</f>
        <v>36.369999999999997</v>
      </c>
      <c r="J929" s="1">
        <v>36.369999999999997</v>
      </c>
      <c r="K929" s="1">
        <v>0</v>
      </c>
      <c r="L929" s="1">
        <v>36.369999999999997</v>
      </c>
      <c r="M929" s="1">
        <v>9.7899999999999991</v>
      </c>
      <c r="N929" s="1">
        <v>24</v>
      </c>
      <c r="O929" s="1" t="s">
        <v>26</v>
      </c>
      <c r="P929" s="1" t="s">
        <v>35</v>
      </c>
    </row>
    <row r="930" spans="1:16" x14ac:dyDescent="0.3">
      <c r="A930" s="1">
        <v>100687</v>
      </c>
      <c r="B930" s="2">
        <v>45735</v>
      </c>
      <c r="C930" s="1" t="s">
        <v>969</v>
      </c>
      <c r="D930" s="1" t="s">
        <v>100</v>
      </c>
      <c r="E930" s="1" t="s">
        <v>25</v>
      </c>
      <c r="F930" s="1" t="s">
        <v>1237</v>
      </c>
      <c r="G930" s="1" t="s">
        <v>31</v>
      </c>
      <c r="H930" s="1">
        <v>1</v>
      </c>
      <c r="I930" s="1">
        <f>Table1[[#This Row],[Units_Sold]]*Table1[[#This Row],[Unit_Price]]</f>
        <v>138.72999999999999</v>
      </c>
      <c r="J930" s="1">
        <v>138.72999999999999</v>
      </c>
      <c r="K930" s="1">
        <v>0</v>
      </c>
      <c r="L930" s="1">
        <v>138.72999999999999</v>
      </c>
      <c r="M930" s="1">
        <v>44.9</v>
      </c>
      <c r="N930" s="1">
        <v>37</v>
      </c>
      <c r="O930" s="1" t="s">
        <v>26</v>
      </c>
      <c r="P930" s="1" t="s">
        <v>32</v>
      </c>
    </row>
    <row r="931" spans="1:16" x14ac:dyDescent="0.3">
      <c r="A931" s="1">
        <v>100032</v>
      </c>
      <c r="B931" s="2">
        <v>45305</v>
      </c>
      <c r="C931" s="1" t="s">
        <v>970</v>
      </c>
      <c r="D931" s="1" t="s">
        <v>16</v>
      </c>
      <c r="E931" s="1" t="s">
        <v>17</v>
      </c>
      <c r="F931" s="1" t="s">
        <v>1239</v>
      </c>
      <c r="G931" s="1" t="s">
        <v>31</v>
      </c>
      <c r="H931" s="1">
        <v>5</v>
      </c>
      <c r="I931" s="1">
        <f>Table1[[#This Row],[Units_Sold]]*Table1[[#This Row],[Unit_Price]]</f>
        <v>294.34999999999997</v>
      </c>
      <c r="J931" s="1">
        <v>58.87</v>
      </c>
      <c r="K931" s="1">
        <v>20</v>
      </c>
      <c r="L931" s="1">
        <v>235.48</v>
      </c>
      <c r="M931" s="1">
        <v>62.55</v>
      </c>
      <c r="N931" s="1">
        <v>35</v>
      </c>
      <c r="O931" s="1" t="s">
        <v>19</v>
      </c>
      <c r="P931" s="1" t="s">
        <v>81</v>
      </c>
    </row>
    <row r="932" spans="1:16" x14ac:dyDescent="0.3">
      <c r="A932" s="1">
        <v>101010</v>
      </c>
      <c r="B932" s="2">
        <v>45027</v>
      </c>
      <c r="C932" s="1" t="s">
        <v>971</v>
      </c>
      <c r="D932" s="1" t="s">
        <v>62</v>
      </c>
      <c r="E932" s="1" t="s">
        <v>17</v>
      </c>
      <c r="F932" s="1" t="s">
        <v>1241</v>
      </c>
      <c r="G932" s="1" t="s">
        <v>64</v>
      </c>
      <c r="H932" s="1">
        <v>3</v>
      </c>
      <c r="I932" s="1">
        <f>Table1[[#This Row],[Units_Sold]]*Table1[[#This Row],[Unit_Price]]</f>
        <v>372.6</v>
      </c>
      <c r="J932" s="1">
        <v>124.2</v>
      </c>
      <c r="K932" s="1">
        <v>0</v>
      </c>
      <c r="L932" s="1">
        <v>372.6</v>
      </c>
      <c r="M932" s="1">
        <v>122.28</v>
      </c>
      <c r="N932" s="1">
        <v>30</v>
      </c>
      <c r="O932" s="1" t="s">
        <v>19</v>
      </c>
      <c r="P932" s="1" t="s">
        <v>27</v>
      </c>
    </row>
    <row r="933" spans="1:16" x14ac:dyDescent="0.3">
      <c r="A933" s="1">
        <v>101175</v>
      </c>
      <c r="B933" s="2">
        <v>45065</v>
      </c>
      <c r="C933" s="1" t="s">
        <v>972</v>
      </c>
      <c r="D933" s="1" t="s">
        <v>34</v>
      </c>
      <c r="E933" s="1" t="s">
        <v>30</v>
      </c>
      <c r="F933" s="1" t="s">
        <v>1238</v>
      </c>
      <c r="G933" s="1" t="s">
        <v>18</v>
      </c>
      <c r="H933" s="1">
        <v>3</v>
      </c>
      <c r="I933" s="1">
        <f>Table1[[#This Row],[Units_Sold]]*Table1[[#This Row],[Unit_Price]]</f>
        <v>182.04</v>
      </c>
      <c r="J933" s="1">
        <v>60.68</v>
      </c>
      <c r="K933" s="1">
        <v>0</v>
      </c>
      <c r="L933" s="1">
        <v>182.04</v>
      </c>
      <c r="M933" s="1">
        <v>52.42</v>
      </c>
      <c r="N933" s="1">
        <v>31</v>
      </c>
      <c r="O933" s="1" t="s">
        <v>19</v>
      </c>
      <c r="P933" s="1" t="s">
        <v>46</v>
      </c>
    </row>
    <row r="934" spans="1:16" x14ac:dyDescent="0.3">
      <c r="A934" s="1">
        <v>100194</v>
      </c>
      <c r="B934" s="2">
        <v>45010</v>
      </c>
      <c r="C934" s="1" t="s">
        <v>973</v>
      </c>
      <c r="D934" s="1" t="s">
        <v>70</v>
      </c>
      <c r="E934" s="1" t="s">
        <v>25</v>
      </c>
      <c r="F934" s="1" t="s">
        <v>1237</v>
      </c>
      <c r="G934" s="1" t="s">
        <v>18</v>
      </c>
      <c r="H934" s="1">
        <v>5</v>
      </c>
      <c r="I934" s="1">
        <f>Table1[[#This Row],[Units_Sold]]*Table1[[#This Row],[Unit_Price]]</f>
        <v>688.1</v>
      </c>
      <c r="J934" s="1">
        <v>137.62</v>
      </c>
      <c r="K934" s="1">
        <v>0</v>
      </c>
      <c r="L934" s="1">
        <v>688.1</v>
      </c>
      <c r="M934" s="1">
        <v>188.22</v>
      </c>
      <c r="N934" s="1">
        <v>30</v>
      </c>
      <c r="O934" s="1" t="s">
        <v>26</v>
      </c>
      <c r="P934" s="1" t="s">
        <v>32</v>
      </c>
    </row>
    <row r="935" spans="1:16" x14ac:dyDescent="0.3">
      <c r="A935" s="1">
        <v>101105</v>
      </c>
      <c r="B935" s="2">
        <v>45388</v>
      </c>
      <c r="C935" s="1" t="s">
        <v>974</v>
      </c>
      <c r="D935" s="1" t="s">
        <v>68</v>
      </c>
      <c r="E935" s="1" t="s">
        <v>25</v>
      </c>
      <c r="F935" s="1" t="s">
        <v>1237</v>
      </c>
      <c r="G935" s="1" t="s">
        <v>31</v>
      </c>
      <c r="H935" s="1">
        <v>4</v>
      </c>
      <c r="I935" s="1">
        <f>Table1[[#This Row],[Units_Sold]]*Table1[[#This Row],[Unit_Price]]</f>
        <v>772.96</v>
      </c>
      <c r="J935" s="1">
        <v>193.24</v>
      </c>
      <c r="K935" s="1">
        <v>0</v>
      </c>
      <c r="L935" s="1">
        <v>772.96</v>
      </c>
      <c r="M935" s="1">
        <v>233.34</v>
      </c>
      <c r="N935" s="1">
        <v>38</v>
      </c>
      <c r="O935" s="1" t="s">
        <v>26</v>
      </c>
      <c r="P935" s="1" t="s">
        <v>51</v>
      </c>
    </row>
    <row r="936" spans="1:16" x14ac:dyDescent="0.3">
      <c r="A936" s="1">
        <v>101113</v>
      </c>
      <c r="B936" s="2">
        <v>45727</v>
      </c>
      <c r="C936" s="1" t="s">
        <v>975</v>
      </c>
      <c r="D936" s="1" t="s">
        <v>37</v>
      </c>
      <c r="E936" s="1" t="s">
        <v>17</v>
      </c>
      <c r="F936" s="1" t="s">
        <v>1241</v>
      </c>
      <c r="G936" s="1" t="s">
        <v>31</v>
      </c>
      <c r="H936" s="1">
        <v>4</v>
      </c>
      <c r="I936" s="1">
        <f>Table1[[#This Row],[Units_Sold]]*Table1[[#This Row],[Unit_Price]]</f>
        <v>228.16</v>
      </c>
      <c r="J936" s="1">
        <v>57.04</v>
      </c>
      <c r="K936" s="1">
        <v>0</v>
      </c>
      <c r="L936" s="1">
        <v>228.16</v>
      </c>
      <c r="M936" s="1">
        <v>80.92</v>
      </c>
      <c r="N936" s="1">
        <v>47</v>
      </c>
      <c r="O936" s="1" t="s">
        <v>26</v>
      </c>
      <c r="P936" s="1" t="s">
        <v>32</v>
      </c>
    </row>
    <row r="937" spans="1:16" x14ac:dyDescent="0.3">
      <c r="A937" s="1">
        <v>101063</v>
      </c>
      <c r="B937" s="2">
        <v>45872</v>
      </c>
      <c r="C937" s="1" t="s">
        <v>976</v>
      </c>
      <c r="D937" s="1" t="s">
        <v>24</v>
      </c>
      <c r="E937" s="1" t="s">
        <v>25</v>
      </c>
      <c r="F937" s="1" t="s">
        <v>1237</v>
      </c>
      <c r="G937" s="1" t="s">
        <v>18</v>
      </c>
      <c r="H937" s="1">
        <v>3</v>
      </c>
      <c r="I937" s="1">
        <f>Table1[[#This Row],[Units_Sold]]*Table1[[#This Row],[Unit_Price]]</f>
        <v>286.08</v>
      </c>
      <c r="J937" s="1">
        <v>95.36</v>
      </c>
      <c r="K937" s="1">
        <v>0</v>
      </c>
      <c r="L937" s="1">
        <v>286.08</v>
      </c>
      <c r="M937" s="1">
        <v>61.27</v>
      </c>
      <c r="N937" s="1">
        <v>19</v>
      </c>
      <c r="O937" s="1" t="s">
        <v>26</v>
      </c>
      <c r="P937" s="1" t="s">
        <v>35</v>
      </c>
    </row>
    <row r="938" spans="1:16" x14ac:dyDescent="0.3">
      <c r="A938" s="1">
        <v>100503</v>
      </c>
      <c r="B938" s="2">
        <v>45795</v>
      </c>
      <c r="C938" s="1" t="s">
        <v>977</v>
      </c>
      <c r="D938" s="1" t="s">
        <v>53</v>
      </c>
      <c r="E938" s="1" t="s">
        <v>30</v>
      </c>
      <c r="F938" s="1" t="s">
        <v>1238</v>
      </c>
      <c r="G938" s="1" t="s">
        <v>48</v>
      </c>
      <c r="H938" s="1">
        <v>4</v>
      </c>
      <c r="I938" s="1">
        <f>Table1[[#This Row],[Units_Sold]]*Table1[[#This Row],[Unit_Price]]</f>
        <v>92.32</v>
      </c>
      <c r="J938" s="1">
        <v>23.08</v>
      </c>
      <c r="K938" s="1">
        <v>5</v>
      </c>
      <c r="L938" s="1">
        <v>87.7</v>
      </c>
      <c r="M938" s="1">
        <v>22.7</v>
      </c>
      <c r="N938" s="1">
        <v>28</v>
      </c>
      <c r="O938" s="1" t="s">
        <v>19</v>
      </c>
      <c r="P938" s="1" t="s">
        <v>20</v>
      </c>
    </row>
    <row r="939" spans="1:16" x14ac:dyDescent="0.3">
      <c r="A939" s="1">
        <v>100915</v>
      </c>
      <c r="B939" s="2">
        <v>45274</v>
      </c>
      <c r="C939" s="1" t="s">
        <v>978</v>
      </c>
      <c r="D939" s="1" t="s">
        <v>37</v>
      </c>
      <c r="E939" s="1" t="s">
        <v>17</v>
      </c>
      <c r="F939" s="1" t="s">
        <v>1237</v>
      </c>
      <c r="G939" s="1" t="s">
        <v>18</v>
      </c>
      <c r="H939" s="1">
        <v>2</v>
      </c>
      <c r="I939" s="1">
        <f>Table1[[#This Row],[Units_Sold]]*Table1[[#This Row],[Unit_Price]]</f>
        <v>134.68</v>
      </c>
      <c r="J939" s="1">
        <v>67.34</v>
      </c>
      <c r="K939" s="1">
        <v>5</v>
      </c>
      <c r="L939" s="1">
        <v>127.95</v>
      </c>
      <c r="M939" s="1">
        <v>29.9</v>
      </c>
      <c r="N939" s="1">
        <v>42</v>
      </c>
      <c r="O939" s="1" t="s">
        <v>19</v>
      </c>
      <c r="P939" s="1" t="s">
        <v>20</v>
      </c>
    </row>
    <row r="940" spans="1:16" x14ac:dyDescent="0.3">
      <c r="A940" s="1">
        <v>100976</v>
      </c>
      <c r="B940" s="2">
        <v>45742</v>
      </c>
      <c r="C940" s="1" t="s">
        <v>979</v>
      </c>
      <c r="D940" s="1" t="s">
        <v>24</v>
      </c>
      <c r="E940" s="1" t="s">
        <v>25</v>
      </c>
      <c r="F940" s="1" t="s">
        <v>1237</v>
      </c>
      <c r="G940" s="1" t="s">
        <v>31</v>
      </c>
      <c r="H940" s="1">
        <v>4</v>
      </c>
      <c r="I940" s="1">
        <f>Table1[[#This Row],[Units_Sold]]*Table1[[#This Row],[Unit_Price]]</f>
        <v>374.68</v>
      </c>
      <c r="J940" s="1">
        <v>93.67</v>
      </c>
      <c r="K940" s="1">
        <v>5</v>
      </c>
      <c r="L940" s="1">
        <v>355.95</v>
      </c>
      <c r="M940" s="1">
        <v>113.89</v>
      </c>
      <c r="N940" s="1">
        <v>32</v>
      </c>
      <c r="O940" s="1" t="s">
        <v>19</v>
      </c>
      <c r="P940" s="1" t="s">
        <v>35</v>
      </c>
    </row>
    <row r="941" spans="1:16" x14ac:dyDescent="0.3">
      <c r="A941" s="1">
        <v>101182</v>
      </c>
      <c r="B941" s="2">
        <v>45155</v>
      </c>
      <c r="C941" s="1" t="s">
        <v>980</v>
      </c>
      <c r="D941" s="1" t="s">
        <v>68</v>
      </c>
      <c r="E941" s="1" t="s">
        <v>25</v>
      </c>
      <c r="F941" s="1" t="s">
        <v>1238</v>
      </c>
      <c r="G941" s="1" t="s">
        <v>64</v>
      </c>
      <c r="H941" s="1">
        <v>1</v>
      </c>
      <c r="I941" s="1">
        <f>Table1[[#This Row],[Units_Sold]]*Table1[[#This Row],[Unit_Price]]</f>
        <v>235.5</v>
      </c>
      <c r="J941" s="1">
        <v>235.5</v>
      </c>
      <c r="K941" s="1">
        <v>5</v>
      </c>
      <c r="L941" s="1">
        <v>223.72</v>
      </c>
      <c r="M941" s="1">
        <v>66.040000000000006</v>
      </c>
      <c r="N941" s="1">
        <v>37</v>
      </c>
      <c r="O941" s="1" t="s">
        <v>26</v>
      </c>
      <c r="P941" s="1" t="s">
        <v>46</v>
      </c>
    </row>
    <row r="942" spans="1:16" x14ac:dyDescent="0.3">
      <c r="A942" s="1">
        <v>101087</v>
      </c>
      <c r="B942" s="2">
        <v>45832</v>
      </c>
      <c r="C942" s="1" t="s">
        <v>981</v>
      </c>
      <c r="D942" s="1" t="s">
        <v>73</v>
      </c>
      <c r="E942" s="1" t="s">
        <v>25</v>
      </c>
      <c r="F942" s="1" t="s">
        <v>1237</v>
      </c>
      <c r="G942" s="1" t="s">
        <v>31</v>
      </c>
      <c r="H942" s="1">
        <v>4</v>
      </c>
      <c r="I942" s="1">
        <f>Table1[[#This Row],[Units_Sold]]*Table1[[#This Row],[Unit_Price]]</f>
        <v>115.64</v>
      </c>
      <c r="J942" s="1">
        <v>28.91</v>
      </c>
      <c r="K942" s="1">
        <v>0</v>
      </c>
      <c r="L942" s="1">
        <v>115.64</v>
      </c>
      <c r="M942" s="1">
        <v>27.23</v>
      </c>
      <c r="N942" s="1">
        <v>32</v>
      </c>
      <c r="O942" s="1" t="s">
        <v>26</v>
      </c>
      <c r="P942" s="1" t="s">
        <v>43</v>
      </c>
    </row>
    <row r="943" spans="1:16" x14ac:dyDescent="0.3">
      <c r="A943" s="1">
        <v>100800</v>
      </c>
      <c r="B943" s="2">
        <v>45188</v>
      </c>
      <c r="C943" s="1" t="s">
        <v>982</v>
      </c>
      <c r="D943" s="1" t="s">
        <v>42</v>
      </c>
      <c r="E943" s="1" t="s">
        <v>25</v>
      </c>
      <c r="F943" s="1" t="s">
        <v>1237</v>
      </c>
      <c r="G943" s="1" t="s">
        <v>18</v>
      </c>
      <c r="H943" s="1">
        <v>3</v>
      </c>
      <c r="I943" s="1">
        <f>Table1[[#This Row],[Units_Sold]]*Table1[[#This Row],[Unit_Price]]</f>
        <v>427.83000000000004</v>
      </c>
      <c r="J943" s="1">
        <v>142.61000000000001</v>
      </c>
      <c r="K943" s="1">
        <v>20</v>
      </c>
      <c r="L943" s="1">
        <v>342.26</v>
      </c>
      <c r="M943" s="1">
        <v>84.2</v>
      </c>
      <c r="N943" s="1">
        <v>19</v>
      </c>
      <c r="O943" s="1" t="s">
        <v>26</v>
      </c>
      <c r="P943" s="1" t="s">
        <v>51</v>
      </c>
    </row>
    <row r="944" spans="1:16" x14ac:dyDescent="0.3">
      <c r="A944" s="1">
        <v>100579</v>
      </c>
      <c r="B944" s="2">
        <v>45598</v>
      </c>
      <c r="C944" s="1" t="s">
        <v>983</v>
      </c>
      <c r="D944" s="1" t="s">
        <v>77</v>
      </c>
      <c r="E944" s="1" t="s">
        <v>30</v>
      </c>
      <c r="F944" s="1" t="s">
        <v>1238</v>
      </c>
      <c r="G944" s="1" t="s">
        <v>31</v>
      </c>
      <c r="H944" s="1">
        <v>3</v>
      </c>
      <c r="I944" s="1">
        <f>Table1[[#This Row],[Units_Sold]]*Table1[[#This Row],[Unit_Price]]</f>
        <v>125.49</v>
      </c>
      <c r="J944" s="1">
        <v>41.83</v>
      </c>
      <c r="K944" s="1">
        <v>0</v>
      </c>
      <c r="L944" s="1">
        <v>125.49</v>
      </c>
      <c r="M944" s="1">
        <v>38.53</v>
      </c>
      <c r="N944" s="1">
        <v>27</v>
      </c>
      <c r="O944" s="1" t="s">
        <v>19</v>
      </c>
      <c r="P944" s="1" t="s">
        <v>27</v>
      </c>
    </row>
    <row r="945" spans="1:16" x14ac:dyDescent="0.3">
      <c r="A945" s="1">
        <v>100160</v>
      </c>
      <c r="B945" s="2">
        <v>45347</v>
      </c>
      <c r="C945" s="1" t="s">
        <v>984</v>
      </c>
      <c r="D945" s="1" t="s">
        <v>59</v>
      </c>
      <c r="E945" s="1" t="s">
        <v>17</v>
      </c>
      <c r="F945" s="1" t="s">
        <v>1241</v>
      </c>
      <c r="G945" s="1" t="s">
        <v>18</v>
      </c>
      <c r="H945" s="1">
        <v>2</v>
      </c>
      <c r="I945" s="1">
        <f>Table1[[#This Row],[Units_Sold]]*Table1[[#This Row],[Unit_Price]]</f>
        <v>62.66</v>
      </c>
      <c r="J945" s="1">
        <v>31.33</v>
      </c>
      <c r="K945" s="1">
        <v>0</v>
      </c>
      <c r="L945" s="1">
        <v>62.66</v>
      </c>
      <c r="M945" s="1">
        <v>15.2</v>
      </c>
      <c r="N945" s="1">
        <v>27</v>
      </c>
      <c r="O945" s="1" t="s">
        <v>26</v>
      </c>
      <c r="P945" s="1" t="s">
        <v>46</v>
      </c>
    </row>
    <row r="946" spans="1:16" x14ac:dyDescent="0.3">
      <c r="A946" s="1">
        <v>100680</v>
      </c>
      <c r="B946" s="2">
        <v>45090</v>
      </c>
      <c r="C946" s="1" t="s">
        <v>985</v>
      </c>
      <c r="D946" s="1" t="s">
        <v>70</v>
      </c>
      <c r="E946" s="1" t="s">
        <v>25</v>
      </c>
      <c r="F946" s="1" t="s">
        <v>1238</v>
      </c>
      <c r="G946" s="1" t="s">
        <v>18</v>
      </c>
      <c r="H946" s="1">
        <v>6</v>
      </c>
      <c r="I946" s="1">
        <f>Table1[[#This Row],[Units_Sold]]*Table1[[#This Row],[Unit_Price]]</f>
        <v>841.62000000000012</v>
      </c>
      <c r="J946" s="1">
        <v>140.27000000000001</v>
      </c>
      <c r="K946" s="1">
        <v>10</v>
      </c>
      <c r="L946" s="1">
        <v>757.46</v>
      </c>
      <c r="M946" s="1">
        <v>185.05</v>
      </c>
      <c r="N946" s="1">
        <v>33</v>
      </c>
      <c r="O946" s="1" t="s">
        <v>26</v>
      </c>
      <c r="P946" s="1" t="s">
        <v>46</v>
      </c>
    </row>
    <row r="947" spans="1:16" x14ac:dyDescent="0.3">
      <c r="A947" s="1">
        <v>101197</v>
      </c>
      <c r="B947" s="2">
        <v>45622</v>
      </c>
      <c r="C947" s="1" t="s">
        <v>986</v>
      </c>
      <c r="D947" s="1" t="s">
        <v>16</v>
      </c>
      <c r="E947" s="1" t="s">
        <v>17</v>
      </c>
      <c r="F947" s="1" t="s">
        <v>1237</v>
      </c>
      <c r="G947" s="1" t="s">
        <v>18</v>
      </c>
      <c r="H947" s="1">
        <v>4</v>
      </c>
      <c r="I947" s="1">
        <f>Table1[[#This Row],[Units_Sold]]*Table1[[#This Row],[Unit_Price]]</f>
        <v>195.6</v>
      </c>
      <c r="J947" s="1">
        <v>48.9</v>
      </c>
      <c r="K947" s="1">
        <v>20</v>
      </c>
      <c r="L947" s="1">
        <v>156.47999999999999</v>
      </c>
      <c r="M947" s="1">
        <v>41.41</v>
      </c>
      <c r="N947" s="1">
        <v>19</v>
      </c>
      <c r="O947" s="1" t="s">
        <v>26</v>
      </c>
      <c r="P947" s="1" t="s">
        <v>51</v>
      </c>
    </row>
    <row r="948" spans="1:16" x14ac:dyDescent="0.3">
      <c r="A948" s="1">
        <v>100162</v>
      </c>
      <c r="B948" s="2">
        <v>45723</v>
      </c>
      <c r="C948" s="1" t="s">
        <v>987</v>
      </c>
      <c r="D948" s="1" t="s">
        <v>62</v>
      </c>
      <c r="E948" s="1" t="s">
        <v>17</v>
      </c>
      <c r="F948" s="1" t="s">
        <v>1238</v>
      </c>
      <c r="G948" s="1" t="s">
        <v>18</v>
      </c>
      <c r="H948" s="1">
        <v>3</v>
      </c>
      <c r="I948" s="1">
        <f>Table1[[#This Row],[Units_Sold]]*Table1[[#This Row],[Unit_Price]]</f>
        <v>426.81000000000006</v>
      </c>
      <c r="J948" s="1">
        <v>142.27000000000001</v>
      </c>
      <c r="K948" s="1">
        <v>0</v>
      </c>
      <c r="L948" s="1">
        <v>426.81</v>
      </c>
      <c r="M948" s="1">
        <v>80.69</v>
      </c>
      <c r="N948" s="1">
        <v>27</v>
      </c>
      <c r="O948" s="1" t="s">
        <v>26</v>
      </c>
      <c r="P948" s="1" t="s">
        <v>35</v>
      </c>
    </row>
    <row r="949" spans="1:16" x14ac:dyDescent="0.3">
      <c r="A949" s="1">
        <v>100821</v>
      </c>
      <c r="B949" s="2">
        <v>45667</v>
      </c>
      <c r="C949" s="1" t="s">
        <v>988</v>
      </c>
      <c r="D949" s="1" t="s">
        <v>62</v>
      </c>
      <c r="E949" s="1" t="s">
        <v>17</v>
      </c>
      <c r="F949" s="1" t="s">
        <v>1239</v>
      </c>
      <c r="G949" s="1" t="s">
        <v>31</v>
      </c>
      <c r="H949" s="1">
        <v>2</v>
      </c>
      <c r="I949" s="1">
        <f>Table1[[#This Row],[Units_Sold]]*Table1[[#This Row],[Unit_Price]]</f>
        <v>270.94</v>
      </c>
      <c r="J949" s="1">
        <v>135.47</v>
      </c>
      <c r="K949" s="1">
        <v>0</v>
      </c>
      <c r="L949" s="1">
        <v>270.94</v>
      </c>
      <c r="M949" s="1">
        <v>78.23</v>
      </c>
      <c r="N949" s="1">
        <v>34</v>
      </c>
      <c r="O949" s="1" t="s">
        <v>19</v>
      </c>
      <c r="P949" s="1" t="s">
        <v>46</v>
      </c>
    </row>
    <row r="950" spans="1:16" x14ac:dyDescent="0.3">
      <c r="A950" s="1">
        <v>100705</v>
      </c>
      <c r="B950" s="2">
        <v>45078</v>
      </c>
      <c r="C950" s="1" t="s">
        <v>989</v>
      </c>
      <c r="D950" s="1" t="s">
        <v>59</v>
      </c>
      <c r="E950" s="1" t="s">
        <v>17</v>
      </c>
      <c r="F950" s="1" t="s">
        <v>1240</v>
      </c>
      <c r="G950" s="1" t="s">
        <v>31</v>
      </c>
      <c r="H950" s="1">
        <v>4</v>
      </c>
      <c r="I950" s="1">
        <f>Table1[[#This Row],[Units_Sold]]*Table1[[#This Row],[Unit_Price]]</f>
        <v>117.12</v>
      </c>
      <c r="J950" s="1">
        <v>29.28</v>
      </c>
      <c r="K950" s="1">
        <v>5</v>
      </c>
      <c r="L950" s="1">
        <v>111.26</v>
      </c>
      <c r="M950" s="1">
        <v>24.1</v>
      </c>
      <c r="N950" s="1">
        <v>21</v>
      </c>
      <c r="O950" s="1" t="s">
        <v>26</v>
      </c>
      <c r="P950" s="1" t="s">
        <v>20</v>
      </c>
    </row>
    <row r="951" spans="1:16" x14ac:dyDescent="0.3">
      <c r="A951" s="1">
        <v>101008</v>
      </c>
      <c r="B951" s="2">
        <v>45250</v>
      </c>
      <c r="C951" s="1" t="s">
        <v>990</v>
      </c>
      <c r="D951" s="1" t="s">
        <v>34</v>
      </c>
      <c r="E951" s="1" t="s">
        <v>30</v>
      </c>
      <c r="F951" s="1" t="s">
        <v>1240</v>
      </c>
      <c r="G951" s="1" t="s">
        <v>18</v>
      </c>
      <c r="H951" s="1">
        <v>4</v>
      </c>
      <c r="I951" s="1">
        <f>Table1[[#This Row],[Units_Sold]]*Table1[[#This Row],[Unit_Price]]</f>
        <v>265.92</v>
      </c>
      <c r="J951" s="1">
        <v>66.48</v>
      </c>
      <c r="K951" s="1">
        <v>5</v>
      </c>
      <c r="L951" s="1">
        <v>252.62</v>
      </c>
      <c r="M951" s="1">
        <v>56.62</v>
      </c>
      <c r="N951" s="1">
        <v>19</v>
      </c>
      <c r="O951" s="1" t="s">
        <v>26</v>
      </c>
      <c r="P951" s="1" t="s">
        <v>27</v>
      </c>
    </row>
    <row r="952" spans="1:16" x14ac:dyDescent="0.3">
      <c r="A952" s="1">
        <v>100877</v>
      </c>
      <c r="B952" s="2">
        <v>45920</v>
      </c>
      <c r="C952" s="1" t="s">
        <v>991</v>
      </c>
      <c r="D952" s="1" t="s">
        <v>45</v>
      </c>
      <c r="E952" s="1" t="s">
        <v>30</v>
      </c>
      <c r="F952" s="1" t="s">
        <v>1237</v>
      </c>
      <c r="G952" s="1" t="s">
        <v>48</v>
      </c>
      <c r="H952" s="1">
        <v>2</v>
      </c>
      <c r="I952" s="1">
        <f>Table1[[#This Row],[Units_Sold]]*Table1[[#This Row],[Unit_Price]]</f>
        <v>26.14</v>
      </c>
      <c r="J952" s="1">
        <v>13.07</v>
      </c>
      <c r="K952" s="1">
        <v>0</v>
      </c>
      <c r="L952" s="1">
        <v>26.14</v>
      </c>
      <c r="M952" s="1">
        <v>6.3</v>
      </c>
      <c r="N952" s="1">
        <v>20</v>
      </c>
      <c r="O952" s="1" t="s">
        <v>26</v>
      </c>
      <c r="P952" s="1" t="s">
        <v>32</v>
      </c>
    </row>
    <row r="953" spans="1:16" x14ac:dyDescent="0.3">
      <c r="A953" s="1">
        <v>100895</v>
      </c>
      <c r="B953" s="2">
        <v>45115</v>
      </c>
      <c r="C953" s="1" t="s">
        <v>992</v>
      </c>
      <c r="D953" s="1" t="s">
        <v>39</v>
      </c>
      <c r="E953" s="1" t="s">
        <v>25</v>
      </c>
      <c r="F953" s="1" t="s">
        <v>1241</v>
      </c>
      <c r="G953" s="1" t="s">
        <v>18</v>
      </c>
      <c r="H953" s="1">
        <v>3</v>
      </c>
      <c r="I953" s="1">
        <f>Table1[[#This Row],[Units_Sold]]*Table1[[#This Row],[Unit_Price]]</f>
        <v>526.79999999999995</v>
      </c>
      <c r="J953" s="1">
        <v>175.6</v>
      </c>
      <c r="K953" s="1">
        <v>5</v>
      </c>
      <c r="L953" s="1">
        <v>500.46</v>
      </c>
      <c r="M953" s="1">
        <v>131.79</v>
      </c>
      <c r="N953" s="1">
        <v>27</v>
      </c>
      <c r="O953" s="1" t="s">
        <v>26</v>
      </c>
      <c r="P953" s="1" t="s">
        <v>20</v>
      </c>
    </row>
    <row r="954" spans="1:16" x14ac:dyDescent="0.3">
      <c r="A954" s="1">
        <v>100913</v>
      </c>
      <c r="B954" s="2">
        <v>45737</v>
      </c>
      <c r="C954" s="1" t="s">
        <v>993</v>
      </c>
      <c r="D954" s="1" t="s">
        <v>24</v>
      </c>
      <c r="E954" s="1" t="s">
        <v>25</v>
      </c>
      <c r="F954" s="1" t="s">
        <v>1241</v>
      </c>
      <c r="G954" s="1" t="s">
        <v>31</v>
      </c>
      <c r="H954" s="1">
        <v>2</v>
      </c>
      <c r="I954" s="1">
        <f>Table1[[#This Row],[Units_Sold]]*Table1[[#This Row],[Unit_Price]]</f>
        <v>199.34</v>
      </c>
      <c r="J954" s="1">
        <v>99.67</v>
      </c>
      <c r="K954" s="1">
        <v>5</v>
      </c>
      <c r="L954" s="1">
        <v>189.37</v>
      </c>
      <c r="M954" s="1">
        <v>61.03</v>
      </c>
      <c r="N954" s="1">
        <v>23</v>
      </c>
      <c r="O954" s="1" t="s">
        <v>19</v>
      </c>
      <c r="P954" s="1" t="s">
        <v>51</v>
      </c>
    </row>
    <row r="955" spans="1:16" x14ac:dyDescent="0.3">
      <c r="A955" s="1">
        <v>101198</v>
      </c>
      <c r="B955" s="2">
        <v>45571</v>
      </c>
      <c r="C955" s="1" t="s">
        <v>994</v>
      </c>
      <c r="D955" s="1" t="s">
        <v>87</v>
      </c>
      <c r="E955" s="1" t="s">
        <v>25</v>
      </c>
      <c r="F955" s="1" t="s">
        <v>1237</v>
      </c>
      <c r="G955" s="1" t="s">
        <v>48</v>
      </c>
      <c r="H955" s="1">
        <v>3</v>
      </c>
      <c r="I955" s="1">
        <f>Table1[[#This Row],[Units_Sold]]*Table1[[#This Row],[Unit_Price]]</f>
        <v>280.64999999999998</v>
      </c>
      <c r="J955" s="1">
        <v>93.55</v>
      </c>
      <c r="K955" s="1">
        <v>20</v>
      </c>
      <c r="L955" s="1">
        <v>224.52</v>
      </c>
      <c r="M955" s="1">
        <v>71.14</v>
      </c>
      <c r="N955" s="1">
        <v>33</v>
      </c>
      <c r="O955" s="1" t="s">
        <v>26</v>
      </c>
      <c r="P955" s="1" t="s">
        <v>32</v>
      </c>
    </row>
    <row r="956" spans="1:16" x14ac:dyDescent="0.3">
      <c r="A956" s="1">
        <v>100152</v>
      </c>
      <c r="B956" s="2">
        <v>44967</v>
      </c>
      <c r="C956" s="1" t="s">
        <v>995</v>
      </c>
      <c r="D956" s="1" t="s">
        <v>37</v>
      </c>
      <c r="E956" s="1" t="s">
        <v>17</v>
      </c>
      <c r="F956" s="1" t="s">
        <v>1240</v>
      </c>
      <c r="G956" s="1" t="s">
        <v>31</v>
      </c>
      <c r="H956" s="1">
        <v>1</v>
      </c>
      <c r="I956" s="1">
        <f>Table1[[#This Row],[Units_Sold]]*Table1[[#This Row],[Unit_Price]]</f>
        <v>77.03</v>
      </c>
      <c r="J956" s="1">
        <v>77.03</v>
      </c>
      <c r="K956" s="1">
        <v>0</v>
      </c>
      <c r="L956" s="1">
        <v>77.03</v>
      </c>
      <c r="M956" s="1">
        <v>17.43</v>
      </c>
      <c r="N956" s="1">
        <v>33</v>
      </c>
      <c r="O956" s="1" t="s">
        <v>19</v>
      </c>
      <c r="P956" s="1" t="s">
        <v>43</v>
      </c>
    </row>
    <row r="957" spans="1:16" x14ac:dyDescent="0.3">
      <c r="A957" s="1">
        <v>100978</v>
      </c>
      <c r="B957" s="2">
        <v>45659</v>
      </c>
      <c r="C957" s="1" t="s">
        <v>996</v>
      </c>
      <c r="D957" s="1" t="s">
        <v>39</v>
      </c>
      <c r="E957" s="1" t="s">
        <v>25</v>
      </c>
      <c r="F957" s="1" t="s">
        <v>1239</v>
      </c>
      <c r="G957" s="1" t="s">
        <v>48</v>
      </c>
      <c r="H957" s="1">
        <v>4</v>
      </c>
      <c r="I957" s="1">
        <f>Table1[[#This Row],[Units_Sold]]*Table1[[#This Row],[Unit_Price]]</f>
        <v>707.04</v>
      </c>
      <c r="J957" s="1">
        <v>176.76</v>
      </c>
      <c r="K957" s="1">
        <v>20</v>
      </c>
      <c r="L957" s="1">
        <v>565.63</v>
      </c>
      <c r="M957" s="1">
        <v>143.41999999999999</v>
      </c>
      <c r="N957" s="1">
        <v>34</v>
      </c>
      <c r="O957" s="1" t="s">
        <v>19</v>
      </c>
      <c r="P957" s="1" t="s">
        <v>51</v>
      </c>
    </row>
    <row r="958" spans="1:16" x14ac:dyDescent="0.3">
      <c r="A958" s="1">
        <v>101002</v>
      </c>
      <c r="B958" s="2">
        <v>45299</v>
      </c>
      <c r="C958" s="1" t="s">
        <v>997</v>
      </c>
      <c r="D958" s="1" t="s">
        <v>45</v>
      </c>
      <c r="E958" s="1" t="s">
        <v>30</v>
      </c>
      <c r="F958" s="1" t="s">
        <v>1240</v>
      </c>
      <c r="G958" s="1" t="s">
        <v>31</v>
      </c>
      <c r="H958" s="1">
        <v>2</v>
      </c>
      <c r="I958" s="1">
        <f>Table1[[#This Row],[Units_Sold]]*Table1[[#This Row],[Unit_Price]]</f>
        <v>33.06</v>
      </c>
      <c r="J958" s="1">
        <v>16.53</v>
      </c>
      <c r="K958" s="1">
        <v>20</v>
      </c>
      <c r="L958" s="1">
        <v>26.45</v>
      </c>
      <c r="M958" s="1">
        <v>9.09</v>
      </c>
      <c r="N958" s="1">
        <v>27</v>
      </c>
      <c r="O958" s="1" t="s">
        <v>26</v>
      </c>
      <c r="P958" s="1" t="s">
        <v>81</v>
      </c>
    </row>
    <row r="959" spans="1:16" x14ac:dyDescent="0.3">
      <c r="A959" s="1">
        <v>100509</v>
      </c>
      <c r="B959" s="2">
        <v>45750</v>
      </c>
      <c r="C959" s="1" t="s">
        <v>998</v>
      </c>
      <c r="D959" s="1" t="s">
        <v>37</v>
      </c>
      <c r="E959" s="1" t="s">
        <v>17</v>
      </c>
      <c r="F959" s="1" t="s">
        <v>1239</v>
      </c>
      <c r="G959" s="1" t="s">
        <v>18</v>
      </c>
      <c r="H959" s="1">
        <v>4</v>
      </c>
      <c r="I959" s="1">
        <f>Table1[[#This Row],[Units_Sold]]*Table1[[#This Row],[Unit_Price]]</f>
        <v>268.68</v>
      </c>
      <c r="J959" s="1">
        <v>67.17</v>
      </c>
      <c r="K959" s="1">
        <v>0</v>
      </c>
      <c r="L959" s="1">
        <v>268.68</v>
      </c>
      <c r="M959" s="1">
        <v>106.87</v>
      </c>
      <c r="N959" s="1">
        <v>30</v>
      </c>
      <c r="O959" s="1" t="s">
        <v>19</v>
      </c>
      <c r="P959" s="1" t="s">
        <v>35</v>
      </c>
    </row>
    <row r="960" spans="1:16" x14ac:dyDescent="0.3">
      <c r="A960" s="1">
        <v>100111</v>
      </c>
      <c r="B960" s="2">
        <v>45132</v>
      </c>
      <c r="C960" s="1" t="s">
        <v>999</v>
      </c>
      <c r="D960" s="1" t="s">
        <v>68</v>
      </c>
      <c r="E960" s="1" t="s">
        <v>25</v>
      </c>
      <c r="F960" s="1" t="s">
        <v>1239</v>
      </c>
      <c r="G960" s="1" t="s">
        <v>18</v>
      </c>
      <c r="H960" s="1">
        <v>3</v>
      </c>
      <c r="I960" s="1">
        <f>Table1[[#This Row],[Units_Sold]]*Table1[[#This Row],[Unit_Price]]</f>
        <v>748.53</v>
      </c>
      <c r="J960" s="1">
        <v>249.51</v>
      </c>
      <c r="K960" s="1">
        <v>0</v>
      </c>
      <c r="L960" s="1">
        <v>748.53</v>
      </c>
      <c r="M960" s="1">
        <v>257.95999999999998</v>
      </c>
      <c r="N960" s="1">
        <v>30</v>
      </c>
      <c r="O960" s="1" t="s">
        <v>26</v>
      </c>
      <c r="P960" s="1" t="s">
        <v>20</v>
      </c>
    </row>
    <row r="961" spans="1:16" x14ac:dyDescent="0.3">
      <c r="A961" s="1">
        <v>100226</v>
      </c>
      <c r="B961" s="2">
        <v>45236</v>
      </c>
      <c r="C961" s="1" t="s">
        <v>1000</v>
      </c>
      <c r="D961" s="1" t="s">
        <v>77</v>
      </c>
      <c r="E961" s="1" t="s">
        <v>30</v>
      </c>
      <c r="F961" s="1" t="s">
        <v>1241</v>
      </c>
      <c r="G961" s="1" t="s">
        <v>31</v>
      </c>
      <c r="H961" s="1">
        <v>3</v>
      </c>
      <c r="I961" s="1">
        <f>Table1[[#This Row],[Units_Sold]]*Table1[[#This Row],[Unit_Price]]</f>
        <v>110.69999999999999</v>
      </c>
      <c r="J961" s="1">
        <v>36.9</v>
      </c>
      <c r="K961" s="1">
        <v>0</v>
      </c>
      <c r="L961" s="1">
        <v>110.7</v>
      </c>
      <c r="M961" s="1">
        <v>40.799999999999997</v>
      </c>
      <c r="N961" s="1">
        <v>17</v>
      </c>
      <c r="O961" s="1" t="s">
        <v>19</v>
      </c>
      <c r="P961" s="1" t="s">
        <v>81</v>
      </c>
    </row>
    <row r="962" spans="1:16" x14ac:dyDescent="0.3">
      <c r="A962" s="1">
        <v>100985</v>
      </c>
      <c r="B962" s="2">
        <v>45077</v>
      </c>
      <c r="C962" s="1" t="s">
        <v>1001</v>
      </c>
      <c r="D962" s="1" t="s">
        <v>100</v>
      </c>
      <c r="E962" s="1" t="s">
        <v>25</v>
      </c>
      <c r="F962" s="1" t="s">
        <v>1237</v>
      </c>
      <c r="G962" s="1" t="s">
        <v>48</v>
      </c>
      <c r="H962" s="1">
        <v>5</v>
      </c>
      <c r="I962" s="1">
        <f>Table1[[#This Row],[Units_Sold]]*Table1[[#This Row],[Unit_Price]]</f>
        <v>609.5</v>
      </c>
      <c r="J962" s="1">
        <v>121.9</v>
      </c>
      <c r="K962" s="1">
        <v>5</v>
      </c>
      <c r="L962" s="1">
        <v>579.02</v>
      </c>
      <c r="M962" s="1">
        <v>163.19999999999999</v>
      </c>
      <c r="N962" s="1">
        <v>23</v>
      </c>
      <c r="O962" s="1" t="s">
        <v>19</v>
      </c>
      <c r="P962" s="1" t="s">
        <v>81</v>
      </c>
    </row>
    <row r="963" spans="1:16" x14ac:dyDescent="0.3">
      <c r="A963" s="1">
        <v>100851</v>
      </c>
      <c r="B963" s="2">
        <v>45706</v>
      </c>
      <c r="C963" s="1" t="s">
        <v>1002</v>
      </c>
      <c r="D963" s="1" t="s">
        <v>29</v>
      </c>
      <c r="E963" s="1" t="s">
        <v>30</v>
      </c>
      <c r="F963" s="1" t="s">
        <v>1241</v>
      </c>
      <c r="G963" s="1" t="s">
        <v>31</v>
      </c>
      <c r="H963" s="1">
        <v>3</v>
      </c>
      <c r="I963" s="1">
        <f>Table1[[#This Row],[Units_Sold]]*Table1[[#This Row],[Unit_Price]]</f>
        <v>54.39</v>
      </c>
      <c r="J963" s="1">
        <v>18.13</v>
      </c>
      <c r="K963" s="1">
        <v>0</v>
      </c>
      <c r="L963" s="1">
        <v>54.39</v>
      </c>
      <c r="M963" s="1">
        <v>11.02</v>
      </c>
      <c r="N963" s="1">
        <v>25</v>
      </c>
      <c r="O963" s="1" t="s">
        <v>26</v>
      </c>
      <c r="P963" s="1" t="s">
        <v>32</v>
      </c>
    </row>
    <row r="964" spans="1:16" x14ac:dyDescent="0.3">
      <c r="A964" s="1">
        <v>100103</v>
      </c>
      <c r="B964" s="2">
        <v>45310</v>
      </c>
      <c r="C964" s="1" t="s">
        <v>1003</v>
      </c>
      <c r="D964" s="1" t="s">
        <v>34</v>
      </c>
      <c r="E964" s="1" t="s">
        <v>30</v>
      </c>
      <c r="F964" s="1" t="s">
        <v>1238</v>
      </c>
      <c r="G964" s="1" t="s">
        <v>31</v>
      </c>
      <c r="H964" s="1">
        <v>3</v>
      </c>
      <c r="I964" s="1">
        <f>Table1[[#This Row],[Units_Sold]]*Table1[[#This Row],[Unit_Price]]</f>
        <v>166.98</v>
      </c>
      <c r="J964" s="1">
        <v>55.66</v>
      </c>
      <c r="K964" s="1">
        <v>10</v>
      </c>
      <c r="L964" s="1">
        <v>150.28</v>
      </c>
      <c r="M964" s="1">
        <v>78.88</v>
      </c>
      <c r="N964" s="1">
        <v>17</v>
      </c>
      <c r="O964" s="1" t="s">
        <v>19</v>
      </c>
      <c r="P964" s="1" t="s">
        <v>35</v>
      </c>
    </row>
    <row r="965" spans="1:16" x14ac:dyDescent="0.3">
      <c r="A965" s="1">
        <v>100421</v>
      </c>
      <c r="B965" s="2">
        <v>45606</v>
      </c>
      <c r="C965" s="1" t="s">
        <v>1004</v>
      </c>
      <c r="D965" s="1" t="s">
        <v>62</v>
      </c>
      <c r="E965" s="1" t="s">
        <v>17</v>
      </c>
      <c r="F965" s="1" t="s">
        <v>1237</v>
      </c>
      <c r="G965" s="1" t="s">
        <v>48</v>
      </c>
      <c r="H965" s="1">
        <v>3</v>
      </c>
      <c r="I965" s="1">
        <f>Table1[[#This Row],[Units_Sold]]*Table1[[#This Row],[Unit_Price]]</f>
        <v>366.93</v>
      </c>
      <c r="J965" s="1">
        <v>122.31</v>
      </c>
      <c r="K965" s="1">
        <v>10</v>
      </c>
      <c r="L965" s="1">
        <v>330.24</v>
      </c>
      <c r="M965" s="1">
        <v>92.75</v>
      </c>
      <c r="N965" s="1">
        <v>22</v>
      </c>
      <c r="O965" s="1" t="s">
        <v>19</v>
      </c>
      <c r="P965" s="1" t="s">
        <v>81</v>
      </c>
    </row>
    <row r="966" spans="1:16" x14ac:dyDescent="0.3">
      <c r="A966" s="1">
        <v>100419</v>
      </c>
      <c r="B966" s="2">
        <v>45421</v>
      </c>
      <c r="C966" s="1" t="s">
        <v>1005</v>
      </c>
      <c r="D966" s="1" t="s">
        <v>53</v>
      </c>
      <c r="E966" s="1" t="s">
        <v>30</v>
      </c>
      <c r="F966" s="1" t="s">
        <v>1238</v>
      </c>
      <c r="G966" s="1" t="s">
        <v>18</v>
      </c>
      <c r="H966" s="1">
        <v>3</v>
      </c>
      <c r="I966" s="1">
        <f>Table1[[#This Row],[Units_Sold]]*Table1[[#This Row],[Unit_Price]]</f>
        <v>65.64</v>
      </c>
      <c r="J966" s="1">
        <v>21.88</v>
      </c>
      <c r="K966" s="1">
        <v>10</v>
      </c>
      <c r="L966" s="1">
        <v>59.08</v>
      </c>
      <c r="M966" s="1">
        <v>16.36</v>
      </c>
      <c r="N966" s="1">
        <v>17</v>
      </c>
      <c r="O966" s="1" t="s">
        <v>26</v>
      </c>
      <c r="P966" s="1" t="s">
        <v>43</v>
      </c>
    </row>
    <row r="967" spans="1:16" x14ac:dyDescent="0.3">
      <c r="A967" s="1">
        <v>100624</v>
      </c>
      <c r="B967" s="2">
        <v>45426</v>
      </c>
      <c r="C967" s="1" t="s">
        <v>1006</v>
      </c>
      <c r="D967" s="1" t="s">
        <v>39</v>
      </c>
      <c r="E967" s="1" t="s">
        <v>25</v>
      </c>
      <c r="F967" s="1" t="s">
        <v>1241</v>
      </c>
      <c r="G967" s="1" t="s">
        <v>31</v>
      </c>
      <c r="H967" s="1">
        <v>1</v>
      </c>
      <c r="I967" s="1">
        <f>Table1[[#This Row],[Units_Sold]]*Table1[[#This Row],[Unit_Price]]</f>
        <v>190.17</v>
      </c>
      <c r="J967" s="1">
        <v>190.17</v>
      </c>
      <c r="K967" s="1">
        <v>10</v>
      </c>
      <c r="L967" s="1">
        <v>171.15</v>
      </c>
      <c r="M967" s="1">
        <v>49.27</v>
      </c>
      <c r="N967" s="1">
        <v>27</v>
      </c>
      <c r="O967" s="1" t="s">
        <v>19</v>
      </c>
      <c r="P967" s="1" t="s">
        <v>20</v>
      </c>
    </row>
    <row r="968" spans="1:16" x14ac:dyDescent="0.3">
      <c r="A968" s="1">
        <v>100586</v>
      </c>
      <c r="B968" s="2">
        <v>45460</v>
      </c>
      <c r="C968" s="1" t="s">
        <v>1007</v>
      </c>
      <c r="D968" s="1" t="s">
        <v>87</v>
      </c>
      <c r="E968" s="1" t="s">
        <v>25</v>
      </c>
      <c r="F968" s="1" t="s">
        <v>1237</v>
      </c>
      <c r="G968" s="1" t="s">
        <v>18</v>
      </c>
      <c r="H968" s="1">
        <v>3</v>
      </c>
      <c r="I968" s="1">
        <f>Table1[[#This Row],[Units_Sold]]*Table1[[#This Row],[Unit_Price]]</f>
        <v>255.84</v>
      </c>
      <c r="J968" s="1">
        <v>85.28</v>
      </c>
      <c r="K968" s="1">
        <v>5</v>
      </c>
      <c r="L968" s="1">
        <v>243.05</v>
      </c>
      <c r="M968" s="1">
        <v>78.3</v>
      </c>
      <c r="N968" s="1">
        <v>28</v>
      </c>
      <c r="O968" s="1" t="s">
        <v>122</v>
      </c>
      <c r="P968" s="1" t="s">
        <v>32</v>
      </c>
    </row>
    <row r="969" spans="1:16" x14ac:dyDescent="0.3">
      <c r="A969" s="1">
        <v>101060</v>
      </c>
      <c r="B969" s="2">
        <v>45484</v>
      </c>
      <c r="C969" s="1" t="s">
        <v>1008</v>
      </c>
      <c r="D969" s="1" t="s">
        <v>16</v>
      </c>
      <c r="E969" s="1" t="s">
        <v>17</v>
      </c>
      <c r="F969" s="1" t="s">
        <v>1239</v>
      </c>
      <c r="G969" s="1" t="s">
        <v>18</v>
      </c>
      <c r="H969" s="1">
        <v>3</v>
      </c>
      <c r="I969" s="1">
        <f>Table1[[#This Row],[Units_Sold]]*Table1[[#This Row],[Unit_Price]]</f>
        <v>174.14999999999998</v>
      </c>
      <c r="J969" s="1">
        <v>58.05</v>
      </c>
      <c r="K969" s="1">
        <v>10</v>
      </c>
      <c r="L969" s="1">
        <v>156.72999999999999</v>
      </c>
      <c r="M969" s="1">
        <v>50.62</v>
      </c>
      <c r="N969" s="1">
        <v>30</v>
      </c>
      <c r="O969" s="1" t="s">
        <v>26</v>
      </c>
      <c r="P969" s="1" t="s">
        <v>51</v>
      </c>
    </row>
    <row r="970" spans="1:16" x14ac:dyDescent="0.3">
      <c r="A970" s="1">
        <v>100919</v>
      </c>
      <c r="B970" s="2">
        <v>44998</v>
      </c>
      <c r="C970" s="1" t="s">
        <v>1009</v>
      </c>
      <c r="D970" s="1" t="s">
        <v>62</v>
      </c>
      <c r="E970" s="1" t="s">
        <v>17</v>
      </c>
      <c r="F970" s="1" t="s">
        <v>1241</v>
      </c>
      <c r="G970" s="1" t="s">
        <v>31</v>
      </c>
      <c r="H970" s="1">
        <v>2</v>
      </c>
      <c r="I970" s="1">
        <f>Table1[[#This Row],[Units_Sold]]*Table1[[#This Row],[Unit_Price]]</f>
        <v>247.5</v>
      </c>
      <c r="J970" s="1">
        <v>123.75</v>
      </c>
      <c r="K970" s="1">
        <v>5</v>
      </c>
      <c r="L970" s="1">
        <v>235.12</v>
      </c>
      <c r="M970" s="1">
        <v>53.12</v>
      </c>
      <c r="N970" s="1">
        <v>34</v>
      </c>
      <c r="O970" s="1" t="s">
        <v>26</v>
      </c>
      <c r="P970" s="1" t="s">
        <v>81</v>
      </c>
    </row>
    <row r="971" spans="1:16" x14ac:dyDescent="0.3">
      <c r="A971" s="1">
        <v>100672</v>
      </c>
      <c r="B971" s="2">
        <v>45363</v>
      </c>
      <c r="C971" s="1" t="s">
        <v>1010</v>
      </c>
      <c r="D971" s="1" t="s">
        <v>66</v>
      </c>
      <c r="E971" s="1" t="s">
        <v>17</v>
      </c>
      <c r="F971" s="1" t="s">
        <v>1240</v>
      </c>
      <c r="G971" s="1" t="s">
        <v>31</v>
      </c>
      <c r="H971" s="1">
        <v>6</v>
      </c>
      <c r="I971" s="1">
        <f>Table1[[#This Row],[Units_Sold]]*Table1[[#This Row],[Unit_Price]]</f>
        <v>792.54</v>
      </c>
      <c r="J971" s="1">
        <v>132.09</v>
      </c>
      <c r="K971" s="1">
        <v>0</v>
      </c>
      <c r="L971" s="1">
        <v>792.54</v>
      </c>
      <c r="M971" s="1">
        <v>276.43</v>
      </c>
      <c r="N971" s="1">
        <v>32</v>
      </c>
      <c r="O971" s="1" t="s">
        <v>26</v>
      </c>
      <c r="P971" s="1" t="s">
        <v>35</v>
      </c>
    </row>
    <row r="972" spans="1:16" x14ac:dyDescent="0.3">
      <c r="A972" s="1">
        <v>100119</v>
      </c>
      <c r="B972" s="2">
        <v>45382</v>
      </c>
      <c r="C972" s="1" t="s">
        <v>1011</v>
      </c>
      <c r="D972" s="1" t="s">
        <v>37</v>
      </c>
      <c r="E972" s="1" t="s">
        <v>17</v>
      </c>
      <c r="F972" s="1" t="s">
        <v>1241</v>
      </c>
      <c r="G972" s="1" t="s">
        <v>31</v>
      </c>
      <c r="H972" s="1">
        <v>5</v>
      </c>
      <c r="I972" s="1">
        <f>Table1[[#This Row],[Units_Sold]]*Table1[[#This Row],[Unit_Price]]</f>
        <v>387.65</v>
      </c>
      <c r="J972" s="1">
        <v>77.53</v>
      </c>
      <c r="K972" s="1">
        <v>0</v>
      </c>
      <c r="L972" s="1">
        <v>387.65</v>
      </c>
      <c r="M972" s="1">
        <v>167.59</v>
      </c>
      <c r="N972" s="1">
        <v>34</v>
      </c>
      <c r="O972" s="1" t="s">
        <v>26</v>
      </c>
      <c r="P972" s="1" t="s">
        <v>43</v>
      </c>
    </row>
    <row r="973" spans="1:16" x14ac:dyDescent="0.3">
      <c r="A973" s="1">
        <v>100053</v>
      </c>
      <c r="B973" s="2">
        <v>45777</v>
      </c>
      <c r="C973" s="1" t="s">
        <v>1012</v>
      </c>
      <c r="D973" s="1" t="s">
        <v>45</v>
      </c>
      <c r="E973" s="1" t="s">
        <v>30</v>
      </c>
      <c r="F973" s="1" t="s">
        <v>1241</v>
      </c>
      <c r="G973" s="1" t="s">
        <v>48</v>
      </c>
      <c r="H973" s="1">
        <v>4</v>
      </c>
      <c r="I973" s="1">
        <f>Table1[[#This Row],[Units_Sold]]*Table1[[#This Row],[Unit_Price]]</f>
        <v>60.36</v>
      </c>
      <c r="J973" s="1">
        <v>15.09</v>
      </c>
      <c r="K973" s="1">
        <v>5</v>
      </c>
      <c r="L973" s="1">
        <v>57.34</v>
      </c>
      <c r="M973" s="1">
        <v>16.97</v>
      </c>
      <c r="N973" s="1">
        <v>31</v>
      </c>
      <c r="O973" s="1" t="s">
        <v>26</v>
      </c>
      <c r="P973" s="1" t="s">
        <v>51</v>
      </c>
    </row>
    <row r="974" spans="1:16" x14ac:dyDescent="0.3">
      <c r="A974" s="1">
        <v>100151</v>
      </c>
      <c r="B974" s="2">
        <v>45440</v>
      </c>
      <c r="C974" s="1" t="s">
        <v>1013</v>
      </c>
      <c r="D974" s="1" t="s">
        <v>68</v>
      </c>
      <c r="E974" s="1" t="s">
        <v>25</v>
      </c>
      <c r="F974" s="1" t="s">
        <v>1238</v>
      </c>
      <c r="G974" s="1" t="s">
        <v>48</v>
      </c>
      <c r="H974" s="1">
        <v>1</v>
      </c>
      <c r="I974" s="1">
        <f>Table1[[#This Row],[Units_Sold]]*Table1[[#This Row],[Unit_Price]]</f>
        <v>228.82</v>
      </c>
      <c r="J974" s="1">
        <v>228.82</v>
      </c>
      <c r="K974" s="1">
        <v>0</v>
      </c>
      <c r="L974" s="1">
        <v>228.82</v>
      </c>
      <c r="M974" s="1">
        <v>71.19</v>
      </c>
      <c r="N974" s="1">
        <v>26</v>
      </c>
      <c r="O974" s="1" t="s">
        <v>19</v>
      </c>
      <c r="P974" s="1" t="s">
        <v>27</v>
      </c>
    </row>
    <row r="975" spans="1:16" x14ac:dyDescent="0.3">
      <c r="A975" s="1">
        <v>100403</v>
      </c>
      <c r="B975" s="2">
        <v>45568</v>
      </c>
      <c r="C975" s="1" t="s">
        <v>1014</v>
      </c>
      <c r="D975" s="1" t="s">
        <v>37</v>
      </c>
      <c r="E975" s="1" t="s">
        <v>17</v>
      </c>
      <c r="F975" s="1" t="s">
        <v>1239</v>
      </c>
      <c r="G975" s="1" t="s">
        <v>18</v>
      </c>
      <c r="H975" s="1">
        <v>3</v>
      </c>
      <c r="I975" s="1">
        <f>Table1[[#This Row],[Units_Sold]]*Table1[[#This Row],[Unit_Price]]</f>
        <v>187.29</v>
      </c>
      <c r="J975" s="1">
        <v>62.43</v>
      </c>
      <c r="K975" s="1">
        <v>20</v>
      </c>
      <c r="L975" s="1">
        <v>149.83000000000001</v>
      </c>
      <c r="M975" s="1">
        <v>43.51</v>
      </c>
      <c r="N975" s="1">
        <v>31</v>
      </c>
      <c r="O975" s="1" t="s">
        <v>26</v>
      </c>
      <c r="P975" s="1" t="s">
        <v>20</v>
      </c>
    </row>
    <row r="976" spans="1:16" x14ac:dyDescent="0.3">
      <c r="A976" s="1">
        <v>101188</v>
      </c>
      <c r="B976" s="2">
        <v>45760</v>
      </c>
      <c r="C976" s="1" t="s">
        <v>1015</v>
      </c>
      <c r="D976" s="1" t="s">
        <v>34</v>
      </c>
      <c r="E976" s="1" t="s">
        <v>30</v>
      </c>
      <c r="F976" s="1" t="s">
        <v>1241</v>
      </c>
      <c r="G976" s="1" t="s">
        <v>18</v>
      </c>
      <c r="H976" s="1">
        <v>1</v>
      </c>
      <c r="I976" s="1">
        <f>Table1[[#This Row],[Units_Sold]]*Table1[[#This Row],[Unit_Price]]</f>
        <v>53.84</v>
      </c>
      <c r="J976" s="1">
        <v>53.84</v>
      </c>
      <c r="K976" s="1">
        <v>10</v>
      </c>
      <c r="L976" s="1">
        <v>48.46</v>
      </c>
      <c r="M976" s="1">
        <v>18.420000000000002</v>
      </c>
      <c r="N976" s="1">
        <v>29</v>
      </c>
      <c r="O976" s="1" t="s">
        <v>26</v>
      </c>
      <c r="P976" s="1" t="s">
        <v>20</v>
      </c>
    </row>
    <row r="977" spans="1:16" x14ac:dyDescent="0.3">
      <c r="A977" s="1">
        <v>100207</v>
      </c>
      <c r="B977" s="2">
        <v>45652</v>
      </c>
      <c r="C977" s="1" t="s">
        <v>1016</v>
      </c>
      <c r="D977" s="1" t="s">
        <v>77</v>
      </c>
      <c r="E977" s="1" t="s">
        <v>30</v>
      </c>
      <c r="F977" s="1" t="s">
        <v>1237</v>
      </c>
      <c r="G977" s="1" t="s">
        <v>18</v>
      </c>
      <c r="H977" s="1">
        <v>1</v>
      </c>
      <c r="I977" s="1">
        <f>Table1[[#This Row],[Units_Sold]]*Table1[[#This Row],[Unit_Price]]</f>
        <v>38.24</v>
      </c>
      <c r="J977" s="1">
        <v>38.24</v>
      </c>
      <c r="K977" s="1">
        <v>5</v>
      </c>
      <c r="L977" s="1">
        <v>36.33</v>
      </c>
      <c r="M977" s="1">
        <v>13.84</v>
      </c>
      <c r="N977" s="1">
        <v>30</v>
      </c>
      <c r="O977" s="1" t="s">
        <v>19</v>
      </c>
      <c r="P977" s="1" t="s">
        <v>32</v>
      </c>
    </row>
    <row r="978" spans="1:16" x14ac:dyDescent="0.3">
      <c r="A978" s="1">
        <v>101134</v>
      </c>
      <c r="B978" s="2">
        <v>45075</v>
      </c>
      <c r="C978" s="1" t="s">
        <v>1010</v>
      </c>
      <c r="D978" s="1" t="s">
        <v>66</v>
      </c>
      <c r="E978" s="1" t="s">
        <v>17</v>
      </c>
      <c r="F978" s="1" t="s">
        <v>1238</v>
      </c>
      <c r="G978" s="1" t="s">
        <v>18</v>
      </c>
      <c r="H978" s="1">
        <v>3</v>
      </c>
      <c r="I978" s="1">
        <f>Table1[[#This Row],[Units_Sold]]*Table1[[#This Row],[Unit_Price]]</f>
        <v>436.08000000000004</v>
      </c>
      <c r="J978" s="1">
        <v>145.36000000000001</v>
      </c>
      <c r="K978" s="1">
        <v>10</v>
      </c>
      <c r="L978" s="1">
        <v>392.47</v>
      </c>
      <c r="M978" s="1">
        <v>123.98</v>
      </c>
      <c r="N978" s="1">
        <v>48</v>
      </c>
      <c r="O978" s="1" t="s">
        <v>26</v>
      </c>
      <c r="P978" s="1" t="s">
        <v>46</v>
      </c>
    </row>
    <row r="979" spans="1:16" x14ac:dyDescent="0.3">
      <c r="A979" s="1">
        <v>100658</v>
      </c>
      <c r="B979" s="2">
        <v>45191</v>
      </c>
      <c r="C979" s="1" t="s">
        <v>1017</v>
      </c>
      <c r="D979" s="1" t="s">
        <v>22</v>
      </c>
      <c r="E979" s="1" t="s">
        <v>17</v>
      </c>
      <c r="F979" s="1" t="s">
        <v>1241</v>
      </c>
      <c r="G979" s="1" t="s">
        <v>64</v>
      </c>
      <c r="H979" s="1">
        <v>2</v>
      </c>
      <c r="I979" s="1">
        <f>Table1[[#This Row],[Units_Sold]]*Table1[[#This Row],[Unit_Price]]</f>
        <v>51.6</v>
      </c>
      <c r="J979" s="1">
        <v>25.8</v>
      </c>
      <c r="K979" s="1">
        <v>20</v>
      </c>
      <c r="L979" s="1">
        <v>41.28</v>
      </c>
      <c r="M979" s="1">
        <v>9.51</v>
      </c>
      <c r="N979" s="1">
        <v>40</v>
      </c>
      <c r="O979" s="1" t="s">
        <v>26</v>
      </c>
      <c r="P979" s="1" t="s">
        <v>32</v>
      </c>
    </row>
    <row r="980" spans="1:16" x14ac:dyDescent="0.3">
      <c r="A980" s="1">
        <v>101096</v>
      </c>
      <c r="B980" s="2">
        <v>45406</v>
      </c>
      <c r="C980" s="1" t="s">
        <v>1018</v>
      </c>
      <c r="D980" s="1" t="s">
        <v>45</v>
      </c>
      <c r="E980" s="1" t="s">
        <v>30</v>
      </c>
      <c r="F980" s="1" t="s">
        <v>1238</v>
      </c>
      <c r="G980" s="1" t="s">
        <v>18</v>
      </c>
      <c r="H980" s="1">
        <v>2</v>
      </c>
      <c r="I980" s="1">
        <f>Table1[[#This Row],[Units_Sold]]*Table1[[#This Row],[Unit_Price]]</f>
        <v>25.52</v>
      </c>
      <c r="J980" s="1">
        <v>12.76</v>
      </c>
      <c r="K980" s="1">
        <v>0</v>
      </c>
      <c r="L980" s="1">
        <v>25.52</v>
      </c>
      <c r="M980" s="1">
        <v>9.16</v>
      </c>
      <c r="N980" s="1">
        <v>22</v>
      </c>
      <c r="O980" s="1" t="s">
        <v>19</v>
      </c>
      <c r="P980" s="1" t="s">
        <v>32</v>
      </c>
    </row>
    <row r="981" spans="1:16" x14ac:dyDescent="0.3">
      <c r="A981" s="1">
        <v>100232</v>
      </c>
      <c r="B981" s="2">
        <v>45755</v>
      </c>
      <c r="C981" s="1" t="s">
        <v>1019</v>
      </c>
      <c r="D981" s="1" t="s">
        <v>70</v>
      </c>
      <c r="E981" s="1" t="s">
        <v>25</v>
      </c>
      <c r="F981" s="1" t="s">
        <v>1238</v>
      </c>
      <c r="G981" s="1" t="s">
        <v>31</v>
      </c>
      <c r="H981" s="1">
        <v>1</v>
      </c>
      <c r="I981" s="1">
        <f>Table1[[#This Row],[Units_Sold]]*Table1[[#This Row],[Unit_Price]]</f>
        <v>147.78</v>
      </c>
      <c r="J981" s="1">
        <v>147.78</v>
      </c>
      <c r="K981" s="1">
        <v>5</v>
      </c>
      <c r="L981" s="1">
        <v>140.38999999999999</v>
      </c>
      <c r="M981" s="1">
        <v>41.21</v>
      </c>
      <c r="N981" s="1">
        <v>39</v>
      </c>
      <c r="O981" s="1" t="s">
        <v>26</v>
      </c>
      <c r="P981" s="1" t="s">
        <v>46</v>
      </c>
    </row>
    <row r="982" spans="1:16" x14ac:dyDescent="0.3">
      <c r="A982" s="1">
        <v>100008</v>
      </c>
      <c r="B982" s="2">
        <v>45768</v>
      </c>
      <c r="C982" s="1" t="s">
        <v>1020</v>
      </c>
      <c r="D982" s="1" t="s">
        <v>70</v>
      </c>
      <c r="E982" s="1" t="s">
        <v>25</v>
      </c>
      <c r="F982" s="1" t="s">
        <v>1238</v>
      </c>
      <c r="G982" s="1" t="s">
        <v>18</v>
      </c>
      <c r="H982" s="1">
        <v>2</v>
      </c>
      <c r="I982" s="1">
        <f>Table1[[#This Row],[Units_Sold]]*Table1[[#This Row],[Unit_Price]]</f>
        <v>305.24</v>
      </c>
      <c r="J982" s="1">
        <v>152.62</v>
      </c>
      <c r="K982" s="1">
        <v>0</v>
      </c>
      <c r="L982" s="1">
        <v>305.24</v>
      </c>
      <c r="M982" s="1">
        <v>105.03</v>
      </c>
      <c r="N982" s="1">
        <v>21</v>
      </c>
      <c r="O982" s="1" t="s">
        <v>19</v>
      </c>
      <c r="P982" s="1" t="s">
        <v>43</v>
      </c>
    </row>
    <row r="983" spans="1:16" x14ac:dyDescent="0.3">
      <c r="A983" s="1">
        <v>100159</v>
      </c>
      <c r="B983" s="2">
        <v>45538</v>
      </c>
      <c r="C983" s="1" t="s">
        <v>1021</v>
      </c>
      <c r="D983" s="1" t="s">
        <v>62</v>
      </c>
      <c r="E983" s="1" t="s">
        <v>17</v>
      </c>
      <c r="F983" s="1" t="s">
        <v>1241</v>
      </c>
      <c r="G983" s="1" t="s">
        <v>31</v>
      </c>
      <c r="H983" s="1">
        <v>3</v>
      </c>
      <c r="I983" s="1">
        <f>Table1[[#This Row],[Units_Sold]]*Table1[[#This Row],[Unit_Price]]</f>
        <v>436.56000000000006</v>
      </c>
      <c r="J983" s="1">
        <v>145.52000000000001</v>
      </c>
      <c r="K983" s="1">
        <v>20</v>
      </c>
      <c r="L983" s="1">
        <v>349.25</v>
      </c>
      <c r="M983" s="1">
        <v>86.95</v>
      </c>
      <c r="N983" s="1">
        <v>25</v>
      </c>
      <c r="O983" s="1" t="s">
        <v>19</v>
      </c>
      <c r="P983" s="1" t="s">
        <v>35</v>
      </c>
    </row>
    <row r="984" spans="1:16" x14ac:dyDescent="0.3">
      <c r="A984" s="1">
        <v>100036</v>
      </c>
      <c r="B984" s="2">
        <v>45004</v>
      </c>
      <c r="C984" s="1" t="s">
        <v>1022</v>
      </c>
      <c r="D984" s="1" t="s">
        <v>68</v>
      </c>
      <c r="E984" s="1" t="s">
        <v>25</v>
      </c>
      <c r="F984" s="1" t="s">
        <v>1239</v>
      </c>
      <c r="G984" s="1" t="s">
        <v>31</v>
      </c>
      <c r="H984" s="1">
        <v>4</v>
      </c>
      <c r="I984" s="1">
        <f>Table1[[#This Row],[Units_Sold]]*Table1[[#This Row],[Unit_Price]]</f>
        <v>895.08</v>
      </c>
      <c r="J984" s="1">
        <v>223.77</v>
      </c>
      <c r="K984" s="1">
        <v>0</v>
      </c>
      <c r="L984" s="1">
        <v>895.08</v>
      </c>
      <c r="M984" s="1">
        <v>212.77</v>
      </c>
      <c r="N984" s="1">
        <v>30</v>
      </c>
      <c r="O984" s="1" t="s">
        <v>26</v>
      </c>
      <c r="P984" s="1" t="s">
        <v>35</v>
      </c>
    </row>
    <row r="985" spans="1:16" x14ac:dyDescent="0.3">
      <c r="A985" s="1">
        <v>100452</v>
      </c>
      <c r="B985" s="2">
        <v>45109</v>
      </c>
      <c r="C985" s="1" t="s">
        <v>1023</v>
      </c>
      <c r="D985" s="1" t="s">
        <v>22</v>
      </c>
      <c r="E985" s="1" t="s">
        <v>17</v>
      </c>
      <c r="F985" s="1" t="s">
        <v>1237</v>
      </c>
      <c r="G985" s="1" t="s">
        <v>18</v>
      </c>
      <c r="H985" s="1">
        <v>1</v>
      </c>
      <c r="I985" s="1">
        <f>Table1[[#This Row],[Units_Sold]]*Table1[[#This Row],[Unit_Price]]</f>
        <v>22.4</v>
      </c>
      <c r="J985" s="1">
        <v>22.4</v>
      </c>
      <c r="K985" s="1">
        <v>0</v>
      </c>
      <c r="L985" s="1">
        <v>22.4</v>
      </c>
      <c r="M985" s="1">
        <v>7.39</v>
      </c>
      <c r="N985" s="1">
        <v>39</v>
      </c>
      <c r="O985" s="1" t="s">
        <v>26</v>
      </c>
      <c r="P985" s="1" t="s">
        <v>32</v>
      </c>
    </row>
    <row r="986" spans="1:16" x14ac:dyDescent="0.3">
      <c r="A986" s="1">
        <v>100651</v>
      </c>
      <c r="B986" s="2">
        <v>45911</v>
      </c>
      <c r="C986" s="1" t="s">
        <v>1024</v>
      </c>
      <c r="D986" s="1" t="s">
        <v>56</v>
      </c>
      <c r="E986" s="1" t="s">
        <v>30</v>
      </c>
      <c r="F986" s="1" t="s">
        <v>1241</v>
      </c>
      <c r="G986" s="1" t="s">
        <v>48</v>
      </c>
      <c r="H986" s="1">
        <v>5</v>
      </c>
      <c r="I986" s="1">
        <f>Table1[[#This Row],[Units_Sold]]*Table1[[#This Row],[Unit_Price]]</f>
        <v>227.15</v>
      </c>
      <c r="J986" s="1">
        <v>45.43</v>
      </c>
      <c r="K986" s="1">
        <v>0</v>
      </c>
      <c r="L986" s="1">
        <v>227.15</v>
      </c>
      <c r="M986" s="1">
        <v>90.51</v>
      </c>
      <c r="N986" s="1">
        <v>16</v>
      </c>
      <c r="O986" s="1" t="s">
        <v>19</v>
      </c>
      <c r="P986" s="1" t="s">
        <v>32</v>
      </c>
    </row>
    <row r="987" spans="1:16" x14ac:dyDescent="0.3">
      <c r="A987" s="1">
        <v>100253</v>
      </c>
      <c r="B987" s="2">
        <v>45916</v>
      </c>
      <c r="C987" s="1" t="s">
        <v>1025</v>
      </c>
      <c r="D987" s="1" t="s">
        <v>53</v>
      </c>
      <c r="E987" s="1" t="s">
        <v>30</v>
      </c>
      <c r="F987" s="1" t="s">
        <v>1237</v>
      </c>
      <c r="G987" s="1" t="s">
        <v>18</v>
      </c>
      <c r="H987" s="1">
        <v>1</v>
      </c>
      <c r="I987" s="1">
        <f>Table1[[#This Row],[Units_Sold]]*Table1[[#This Row],[Unit_Price]]</f>
        <v>21.28</v>
      </c>
      <c r="J987" s="1">
        <v>21.28</v>
      </c>
      <c r="K987" s="1">
        <v>5</v>
      </c>
      <c r="L987" s="1">
        <v>20.22</v>
      </c>
      <c r="M987" s="1">
        <v>5.8</v>
      </c>
      <c r="N987" s="1">
        <v>27</v>
      </c>
      <c r="O987" s="1" t="s">
        <v>26</v>
      </c>
      <c r="P987" s="1" t="s">
        <v>46</v>
      </c>
    </row>
    <row r="988" spans="1:16" x14ac:dyDescent="0.3">
      <c r="A988" s="1">
        <v>100303</v>
      </c>
      <c r="B988" s="2">
        <v>45389</v>
      </c>
      <c r="C988" s="1" t="s">
        <v>1026</v>
      </c>
      <c r="D988" s="1" t="s">
        <v>24</v>
      </c>
      <c r="E988" s="1" t="s">
        <v>25</v>
      </c>
      <c r="F988" s="1" t="s">
        <v>1239</v>
      </c>
      <c r="G988" s="1" t="s">
        <v>18</v>
      </c>
      <c r="H988" s="1">
        <v>4</v>
      </c>
      <c r="I988" s="1">
        <f>Table1[[#This Row],[Units_Sold]]*Table1[[#This Row],[Unit_Price]]</f>
        <v>441.12</v>
      </c>
      <c r="J988" s="1">
        <v>110.28</v>
      </c>
      <c r="K988" s="1">
        <v>0</v>
      </c>
      <c r="L988" s="1">
        <v>441.12</v>
      </c>
      <c r="M988" s="1">
        <v>163.15</v>
      </c>
      <c r="N988" s="1">
        <v>30</v>
      </c>
      <c r="O988" s="1" t="s">
        <v>26</v>
      </c>
      <c r="P988" s="1" t="s">
        <v>20</v>
      </c>
    </row>
    <row r="989" spans="1:16" x14ac:dyDescent="0.3">
      <c r="A989" s="1">
        <v>100896</v>
      </c>
      <c r="B989" s="2">
        <v>45573</v>
      </c>
      <c r="C989" s="1" t="s">
        <v>1027</v>
      </c>
      <c r="D989" s="1" t="s">
        <v>77</v>
      </c>
      <c r="E989" s="1" t="s">
        <v>30</v>
      </c>
      <c r="F989" s="1" t="s">
        <v>1238</v>
      </c>
      <c r="G989" s="1" t="s">
        <v>64</v>
      </c>
      <c r="H989" s="1">
        <v>3</v>
      </c>
      <c r="I989" s="1">
        <f>Table1[[#This Row],[Units_Sold]]*Table1[[#This Row],[Unit_Price]]</f>
        <v>111.51</v>
      </c>
      <c r="J989" s="1">
        <v>37.17</v>
      </c>
      <c r="K989" s="1">
        <v>0</v>
      </c>
      <c r="L989" s="1">
        <v>111.51</v>
      </c>
      <c r="M989" s="1">
        <v>32.729999999999997</v>
      </c>
      <c r="N989" s="1">
        <v>33</v>
      </c>
      <c r="O989" s="1" t="s">
        <v>26</v>
      </c>
      <c r="P989" s="1" t="s">
        <v>20</v>
      </c>
    </row>
    <row r="990" spans="1:16" x14ac:dyDescent="0.3">
      <c r="A990" s="1">
        <v>101048</v>
      </c>
      <c r="B990" s="2">
        <v>44973</v>
      </c>
      <c r="C990" s="1" t="s">
        <v>1028</v>
      </c>
      <c r="D990" s="1" t="s">
        <v>45</v>
      </c>
      <c r="E990" s="1" t="s">
        <v>30</v>
      </c>
      <c r="F990" s="1" t="s">
        <v>1241</v>
      </c>
      <c r="G990" s="1" t="s">
        <v>18</v>
      </c>
      <c r="H990" s="1">
        <v>2</v>
      </c>
      <c r="I990" s="1">
        <f>Table1[[#This Row],[Units_Sold]]*Table1[[#This Row],[Unit_Price]]</f>
        <v>30.28</v>
      </c>
      <c r="J990" s="1">
        <v>15.14</v>
      </c>
      <c r="K990" s="1">
        <v>20</v>
      </c>
      <c r="L990" s="1">
        <v>24.22</v>
      </c>
      <c r="M990" s="1">
        <v>8.77</v>
      </c>
      <c r="N990" s="1">
        <v>28</v>
      </c>
      <c r="O990" s="1" t="s">
        <v>19</v>
      </c>
      <c r="P990" s="1" t="s">
        <v>35</v>
      </c>
    </row>
    <row r="991" spans="1:16" x14ac:dyDescent="0.3">
      <c r="A991" s="1">
        <v>100880</v>
      </c>
      <c r="B991" s="2">
        <v>45907</v>
      </c>
      <c r="C991" s="1" t="s">
        <v>1029</v>
      </c>
      <c r="D991" s="1" t="s">
        <v>24</v>
      </c>
      <c r="E991" s="1" t="s">
        <v>25</v>
      </c>
      <c r="F991" s="1" t="s">
        <v>1241</v>
      </c>
      <c r="G991" s="1" t="s">
        <v>18</v>
      </c>
      <c r="H991" s="1">
        <v>5</v>
      </c>
      <c r="I991" s="1">
        <f>Table1[[#This Row],[Units_Sold]]*Table1[[#This Row],[Unit_Price]]</f>
        <v>496.95</v>
      </c>
      <c r="J991" s="1">
        <v>99.39</v>
      </c>
      <c r="K991" s="1">
        <v>0</v>
      </c>
      <c r="L991" s="1">
        <v>496.95</v>
      </c>
      <c r="M991" s="1">
        <v>145.88999999999999</v>
      </c>
      <c r="N991" s="1">
        <v>33</v>
      </c>
      <c r="O991" s="1" t="s">
        <v>26</v>
      </c>
      <c r="P991" s="1" t="s">
        <v>27</v>
      </c>
    </row>
    <row r="992" spans="1:16" x14ac:dyDescent="0.3">
      <c r="A992" s="1">
        <v>100571</v>
      </c>
      <c r="B992" s="2">
        <v>45324</v>
      </c>
      <c r="C992" s="1" t="s">
        <v>1030</v>
      </c>
      <c r="D992" s="1" t="s">
        <v>22</v>
      </c>
      <c r="E992" s="1" t="s">
        <v>17</v>
      </c>
      <c r="F992" s="1" t="s">
        <v>1239</v>
      </c>
      <c r="G992" s="1" t="s">
        <v>18</v>
      </c>
      <c r="H992" s="1">
        <v>2</v>
      </c>
      <c r="I992" s="1">
        <f>Table1[[#This Row],[Units_Sold]]*Table1[[#This Row],[Unit_Price]]</f>
        <v>48.42</v>
      </c>
      <c r="J992" s="1">
        <v>24.21</v>
      </c>
      <c r="K992" s="1">
        <v>0</v>
      </c>
      <c r="L992" s="1">
        <v>48.42</v>
      </c>
      <c r="M992" s="1">
        <v>13.29</v>
      </c>
      <c r="N992" s="1">
        <v>25</v>
      </c>
      <c r="O992" s="1" t="s">
        <v>26</v>
      </c>
      <c r="P992" s="1" t="s">
        <v>20</v>
      </c>
    </row>
    <row r="993" spans="1:16" x14ac:dyDescent="0.3">
      <c r="A993" s="1">
        <v>100623</v>
      </c>
      <c r="B993" s="2">
        <v>45074</v>
      </c>
      <c r="C993" s="1" t="s">
        <v>1031</v>
      </c>
      <c r="D993" s="1" t="s">
        <v>100</v>
      </c>
      <c r="E993" s="1" t="s">
        <v>25</v>
      </c>
      <c r="F993" s="1" t="s">
        <v>1238</v>
      </c>
      <c r="G993" s="1" t="s">
        <v>18</v>
      </c>
      <c r="H993" s="1">
        <v>3</v>
      </c>
      <c r="I993" s="1">
        <f>Table1[[#This Row],[Units_Sold]]*Table1[[#This Row],[Unit_Price]]</f>
        <v>432.63</v>
      </c>
      <c r="J993" s="1">
        <v>144.21</v>
      </c>
      <c r="K993" s="1">
        <v>40</v>
      </c>
      <c r="L993" s="1">
        <v>259.58</v>
      </c>
      <c r="M993" s="1">
        <v>84.4</v>
      </c>
      <c r="N993" s="1">
        <v>44</v>
      </c>
      <c r="O993" s="1" t="s">
        <v>19</v>
      </c>
      <c r="P993" s="1" t="s">
        <v>43</v>
      </c>
    </row>
    <row r="994" spans="1:16" x14ac:dyDescent="0.3">
      <c r="A994" s="1">
        <v>101144</v>
      </c>
      <c r="B994" s="2">
        <v>45874</v>
      </c>
      <c r="C994" s="1" t="s">
        <v>1032</v>
      </c>
      <c r="D994" s="1" t="s">
        <v>68</v>
      </c>
      <c r="E994" s="1" t="s">
        <v>25</v>
      </c>
      <c r="F994" s="1" t="s">
        <v>1241</v>
      </c>
      <c r="G994" s="1" t="s">
        <v>18</v>
      </c>
      <c r="H994" s="1">
        <v>3</v>
      </c>
      <c r="I994" s="1">
        <f>Table1[[#This Row],[Units_Sold]]*Table1[[#This Row],[Unit_Price]]</f>
        <v>686.93999999999994</v>
      </c>
      <c r="J994" s="1">
        <v>228.98</v>
      </c>
      <c r="K994" s="1">
        <v>0</v>
      </c>
      <c r="L994" s="1">
        <v>686.94</v>
      </c>
      <c r="M994" s="1">
        <v>181.13</v>
      </c>
      <c r="N994" s="1">
        <v>34</v>
      </c>
      <c r="O994" s="1" t="s">
        <v>26</v>
      </c>
      <c r="P994" s="1" t="s">
        <v>32</v>
      </c>
    </row>
    <row r="995" spans="1:16" x14ac:dyDescent="0.3">
      <c r="A995" s="1">
        <v>101030</v>
      </c>
      <c r="B995" s="2">
        <v>45061</v>
      </c>
      <c r="C995" s="1" t="s">
        <v>1033</v>
      </c>
      <c r="D995" s="1" t="s">
        <v>87</v>
      </c>
      <c r="E995" s="1" t="s">
        <v>25</v>
      </c>
      <c r="F995" s="1" t="s">
        <v>1237</v>
      </c>
      <c r="G995" s="1" t="s">
        <v>18</v>
      </c>
      <c r="H995" s="1">
        <v>5</v>
      </c>
      <c r="I995" s="1">
        <f>Table1[[#This Row],[Units_Sold]]*Table1[[#This Row],[Unit_Price]]</f>
        <v>430.6</v>
      </c>
      <c r="J995" s="1">
        <v>86.12</v>
      </c>
      <c r="K995" s="1">
        <v>0</v>
      </c>
      <c r="L995" s="1">
        <v>430.6</v>
      </c>
      <c r="M995" s="1">
        <v>99.43</v>
      </c>
      <c r="N995" s="1">
        <v>20</v>
      </c>
      <c r="O995" s="1" t="s">
        <v>26</v>
      </c>
      <c r="P995" s="1" t="s">
        <v>81</v>
      </c>
    </row>
    <row r="996" spans="1:16" x14ac:dyDescent="0.3">
      <c r="A996" s="1">
        <v>101145</v>
      </c>
      <c r="B996" s="2">
        <v>45461</v>
      </c>
      <c r="C996" s="1" t="s">
        <v>1034</v>
      </c>
      <c r="D996" s="1" t="s">
        <v>56</v>
      </c>
      <c r="E996" s="1" t="s">
        <v>30</v>
      </c>
      <c r="F996" s="1" t="s">
        <v>1238</v>
      </c>
      <c r="G996" s="1" t="s">
        <v>31</v>
      </c>
      <c r="H996" s="1">
        <v>3</v>
      </c>
      <c r="I996" s="1">
        <f>Table1[[#This Row],[Units_Sold]]*Table1[[#This Row],[Unit_Price]]</f>
        <v>127.14000000000001</v>
      </c>
      <c r="J996" s="1">
        <v>42.38</v>
      </c>
      <c r="K996" s="1">
        <v>20</v>
      </c>
      <c r="L996" s="1">
        <v>101.71</v>
      </c>
      <c r="M996" s="1">
        <v>28.14</v>
      </c>
      <c r="N996" s="1">
        <v>33</v>
      </c>
      <c r="O996" s="1" t="s">
        <v>26</v>
      </c>
      <c r="P996" s="1" t="s">
        <v>46</v>
      </c>
    </row>
    <row r="997" spans="1:16" x14ac:dyDescent="0.3">
      <c r="A997" s="1">
        <v>100262</v>
      </c>
      <c r="B997" s="2">
        <v>44943</v>
      </c>
      <c r="C997" s="1" t="s">
        <v>1035</v>
      </c>
      <c r="D997" s="1" t="s">
        <v>73</v>
      </c>
      <c r="E997" s="1" t="s">
        <v>25</v>
      </c>
      <c r="F997" s="1" t="s">
        <v>1237</v>
      </c>
      <c r="G997" s="1" t="s">
        <v>31</v>
      </c>
      <c r="H997" s="1">
        <v>5</v>
      </c>
      <c r="I997" s="1">
        <f>Table1[[#This Row],[Units_Sold]]*Table1[[#This Row],[Unit_Price]]</f>
        <v>205.2</v>
      </c>
      <c r="J997" s="1">
        <v>41.04</v>
      </c>
      <c r="K997" s="1">
        <v>0</v>
      </c>
      <c r="L997" s="1">
        <v>205.2</v>
      </c>
      <c r="M997" s="1">
        <v>55.35</v>
      </c>
      <c r="N997" s="1">
        <v>20</v>
      </c>
      <c r="O997" s="1" t="s">
        <v>26</v>
      </c>
      <c r="P997" s="1" t="s">
        <v>27</v>
      </c>
    </row>
    <row r="998" spans="1:16" x14ac:dyDescent="0.3">
      <c r="A998" s="1">
        <v>100610</v>
      </c>
      <c r="B998" s="2">
        <v>45214</v>
      </c>
      <c r="C998" s="1" t="s">
        <v>1036</v>
      </c>
      <c r="D998" s="1" t="s">
        <v>39</v>
      </c>
      <c r="E998" s="1" t="s">
        <v>25</v>
      </c>
      <c r="F998" s="1" t="s">
        <v>1238</v>
      </c>
      <c r="G998" s="1" t="s">
        <v>31</v>
      </c>
      <c r="H998" s="1">
        <v>3</v>
      </c>
      <c r="I998" s="1">
        <f>Table1[[#This Row],[Units_Sold]]*Table1[[#This Row],[Unit_Price]]</f>
        <v>568.20000000000005</v>
      </c>
      <c r="J998" s="1">
        <v>189.4</v>
      </c>
      <c r="K998" s="1">
        <v>5</v>
      </c>
      <c r="L998" s="1">
        <v>539.79</v>
      </c>
      <c r="M998" s="1">
        <v>131.22999999999999</v>
      </c>
      <c r="N998" s="1">
        <v>22</v>
      </c>
      <c r="O998" s="1" t="s">
        <v>26</v>
      </c>
      <c r="P998" s="1" t="s">
        <v>32</v>
      </c>
    </row>
    <row r="999" spans="1:16" x14ac:dyDescent="0.3">
      <c r="A999" s="1">
        <v>100297</v>
      </c>
      <c r="B999" s="2">
        <v>45482</v>
      </c>
      <c r="C999" s="1" t="s">
        <v>1037</v>
      </c>
      <c r="D999" s="1" t="s">
        <v>70</v>
      </c>
      <c r="E999" s="1" t="s">
        <v>25</v>
      </c>
      <c r="F999" s="1" t="s">
        <v>1238</v>
      </c>
      <c r="G999" s="1" t="s">
        <v>18</v>
      </c>
      <c r="H999" s="1">
        <v>2</v>
      </c>
      <c r="I999" s="1">
        <f>Table1[[#This Row],[Units_Sold]]*Table1[[#This Row],[Unit_Price]]</f>
        <v>312.38</v>
      </c>
      <c r="J999" s="1">
        <v>156.19</v>
      </c>
      <c r="K999" s="1">
        <v>0</v>
      </c>
      <c r="L999" s="1">
        <v>312.38</v>
      </c>
      <c r="M999" s="1">
        <v>69.31</v>
      </c>
      <c r="N999" s="1">
        <v>25</v>
      </c>
      <c r="O999" s="1" t="s">
        <v>26</v>
      </c>
      <c r="P999" s="1" t="s">
        <v>51</v>
      </c>
    </row>
    <row r="1000" spans="1:16" x14ac:dyDescent="0.3">
      <c r="A1000" s="1">
        <v>100989</v>
      </c>
      <c r="B1000" s="2">
        <v>45272</v>
      </c>
      <c r="C1000" s="1" t="s">
        <v>1038</v>
      </c>
      <c r="D1000" s="1" t="s">
        <v>34</v>
      </c>
      <c r="E1000" s="1" t="s">
        <v>30</v>
      </c>
      <c r="F1000" s="1" t="s">
        <v>1240</v>
      </c>
      <c r="G1000" s="1" t="s">
        <v>31</v>
      </c>
      <c r="H1000" s="1">
        <v>6</v>
      </c>
      <c r="I1000" s="1">
        <f>Table1[[#This Row],[Units_Sold]]*Table1[[#This Row],[Unit_Price]]</f>
        <v>378.96</v>
      </c>
      <c r="J1000" s="1">
        <v>63.16</v>
      </c>
      <c r="K1000" s="1">
        <v>0</v>
      </c>
      <c r="L1000" s="1">
        <v>378.96</v>
      </c>
      <c r="M1000" s="1">
        <v>109</v>
      </c>
      <c r="N1000" s="1">
        <v>37</v>
      </c>
      <c r="O1000" s="1" t="s">
        <v>26</v>
      </c>
      <c r="P1000" s="1" t="s">
        <v>20</v>
      </c>
    </row>
    <row r="1001" spans="1:16" x14ac:dyDescent="0.3">
      <c r="A1001" s="1">
        <v>100414</v>
      </c>
      <c r="B1001" s="2">
        <v>45029</v>
      </c>
      <c r="C1001" s="1" t="s">
        <v>1039</v>
      </c>
      <c r="D1001" s="1" t="s">
        <v>42</v>
      </c>
      <c r="E1001" s="1" t="s">
        <v>25</v>
      </c>
      <c r="F1001" s="1" t="s">
        <v>1239</v>
      </c>
      <c r="G1001" s="1" t="s">
        <v>18</v>
      </c>
      <c r="H1001" s="1">
        <v>4</v>
      </c>
      <c r="I1001" s="1">
        <f>Table1[[#This Row],[Units_Sold]]*Table1[[#This Row],[Unit_Price]]</f>
        <v>648.32000000000005</v>
      </c>
      <c r="J1001" s="1">
        <v>162.08000000000001</v>
      </c>
      <c r="K1001" s="1">
        <v>0</v>
      </c>
      <c r="L1001" s="1">
        <v>648.32000000000005</v>
      </c>
      <c r="M1001" s="1">
        <v>195.84</v>
      </c>
      <c r="N1001" s="1">
        <v>30</v>
      </c>
      <c r="O1001" s="1" t="s">
        <v>19</v>
      </c>
      <c r="P1001" s="1" t="s">
        <v>32</v>
      </c>
    </row>
    <row r="1002" spans="1:16" x14ac:dyDescent="0.3">
      <c r="A1002" s="1">
        <v>100150</v>
      </c>
      <c r="B1002" s="2">
        <v>45400</v>
      </c>
      <c r="C1002" s="1" t="s">
        <v>1040</v>
      </c>
      <c r="D1002" s="1" t="s">
        <v>77</v>
      </c>
      <c r="E1002" s="1" t="s">
        <v>30</v>
      </c>
      <c r="F1002" s="1" t="s">
        <v>1237</v>
      </c>
      <c r="G1002" s="1" t="s">
        <v>48</v>
      </c>
      <c r="H1002" s="1">
        <v>5</v>
      </c>
      <c r="I1002" s="1">
        <f>Table1[[#This Row],[Units_Sold]]*Table1[[#This Row],[Unit_Price]]</f>
        <v>199.35</v>
      </c>
      <c r="J1002" s="1">
        <v>39.869999999999997</v>
      </c>
      <c r="K1002" s="1">
        <v>0</v>
      </c>
      <c r="L1002" s="1">
        <v>199.35</v>
      </c>
      <c r="M1002" s="1">
        <v>75.3</v>
      </c>
      <c r="N1002" s="1">
        <v>18</v>
      </c>
      <c r="O1002" s="1" t="s">
        <v>26</v>
      </c>
      <c r="P1002" s="1" t="s">
        <v>51</v>
      </c>
    </row>
    <row r="1003" spans="1:16" x14ac:dyDescent="0.3">
      <c r="A1003" s="1">
        <v>100945</v>
      </c>
      <c r="B1003" s="2">
        <v>45211</v>
      </c>
      <c r="C1003" s="1" t="s">
        <v>1041</v>
      </c>
      <c r="D1003" s="1" t="s">
        <v>66</v>
      </c>
      <c r="E1003" s="1" t="s">
        <v>17</v>
      </c>
      <c r="F1003" s="1" t="s">
        <v>1237</v>
      </c>
      <c r="G1003" s="1" t="s">
        <v>31</v>
      </c>
      <c r="H1003" s="1">
        <v>5</v>
      </c>
      <c r="I1003" s="1">
        <f>Table1[[#This Row],[Units_Sold]]*Table1[[#This Row],[Unit_Price]]</f>
        <v>561</v>
      </c>
      <c r="J1003" s="1">
        <v>112.2</v>
      </c>
      <c r="K1003" s="1">
        <v>0</v>
      </c>
      <c r="L1003" s="1">
        <v>561</v>
      </c>
      <c r="M1003" s="1">
        <v>134.72</v>
      </c>
      <c r="N1003" s="1">
        <v>16</v>
      </c>
      <c r="O1003" s="1" t="s">
        <v>19</v>
      </c>
      <c r="P1003" s="1" t="s">
        <v>20</v>
      </c>
    </row>
    <row r="1004" spans="1:16" x14ac:dyDescent="0.3">
      <c r="A1004" s="1">
        <v>100472</v>
      </c>
      <c r="B1004" s="2">
        <v>45288</v>
      </c>
      <c r="C1004" s="1" t="s">
        <v>1042</v>
      </c>
      <c r="D1004" s="1" t="s">
        <v>59</v>
      </c>
      <c r="E1004" s="1" t="s">
        <v>17</v>
      </c>
      <c r="F1004" s="1" t="s">
        <v>1238</v>
      </c>
      <c r="G1004" s="1" t="s">
        <v>31</v>
      </c>
      <c r="H1004" s="1">
        <v>3</v>
      </c>
      <c r="I1004" s="1">
        <f>Table1[[#This Row],[Units_Sold]]*Table1[[#This Row],[Unit_Price]]</f>
        <v>88.35</v>
      </c>
      <c r="J1004" s="1">
        <v>29.45</v>
      </c>
      <c r="K1004" s="1">
        <v>5</v>
      </c>
      <c r="L1004" s="1">
        <v>83.93</v>
      </c>
      <c r="M1004" s="1">
        <v>19.21</v>
      </c>
      <c r="N1004" s="1">
        <v>33</v>
      </c>
      <c r="O1004" s="1" t="s">
        <v>26</v>
      </c>
      <c r="P1004" s="1" t="s">
        <v>35</v>
      </c>
    </row>
    <row r="1005" spans="1:16" x14ac:dyDescent="0.3">
      <c r="A1005" s="1">
        <v>100952</v>
      </c>
      <c r="B1005" s="2">
        <v>45364</v>
      </c>
      <c r="C1005" s="1" t="s">
        <v>1043</v>
      </c>
      <c r="D1005" s="1" t="s">
        <v>24</v>
      </c>
      <c r="E1005" s="1" t="s">
        <v>25</v>
      </c>
      <c r="F1005" s="1" t="s">
        <v>1239</v>
      </c>
      <c r="G1005" s="1" t="s">
        <v>31</v>
      </c>
      <c r="H1005" s="1">
        <v>4</v>
      </c>
      <c r="I1005" s="1">
        <f>Table1[[#This Row],[Units_Sold]]*Table1[[#This Row],[Unit_Price]]</f>
        <v>382.64</v>
      </c>
      <c r="J1005" s="1">
        <v>95.66</v>
      </c>
      <c r="K1005" s="1">
        <v>0</v>
      </c>
      <c r="L1005" s="1">
        <v>382.64</v>
      </c>
      <c r="M1005" s="1">
        <v>106.68</v>
      </c>
      <c r="N1005" s="1">
        <v>39</v>
      </c>
      <c r="O1005" s="1" t="s">
        <v>26</v>
      </c>
      <c r="P1005" s="1" t="s">
        <v>35</v>
      </c>
    </row>
    <row r="1006" spans="1:16" x14ac:dyDescent="0.3">
      <c r="A1006" s="1">
        <v>100987</v>
      </c>
      <c r="B1006" s="2">
        <v>45648</v>
      </c>
      <c r="C1006" s="1" t="s">
        <v>1044</v>
      </c>
      <c r="D1006" s="1" t="s">
        <v>62</v>
      </c>
      <c r="E1006" s="1" t="s">
        <v>17</v>
      </c>
      <c r="F1006" s="1" t="s">
        <v>1237</v>
      </c>
      <c r="G1006" s="1" t="s">
        <v>18</v>
      </c>
      <c r="H1006" s="1">
        <v>4</v>
      </c>
      <c r="I1006" s="1">
        <f>Table1[[#This Row],[Units_Sold]]*Table1[[#This Row],[Unit_Price]]</f>
        <v>592.44000000000005</v>
      </c>
      <c r="J1006" s="1">
        <v>148.11000000000001</v>
      </c>
      <c r="K1006" s="1">
        <v>10</v>
      </c>
      <c r="L1006" s="1">
        <v>533.20000000000005</v>
      </c>
      <c r="M1006" s="1">
        <v>136.19</v>
      </c>
      <c r="N1006" s="1">
        <v>36</v>
      </c>
      <c r="O1006" s="1" t="s">
        <v>19</v>
      </c>
      <c r="P1006" s="1" t="s">
        <v>51</v>
      </c>
    </row>
    <row r="1007" spans="1:16" x14ac:dyDescent="0.3">
      <c r="A1007" s="1">
        <v>100778</v>
      </c>
      <c r="B1007" s="2">
        <v>45389</v>
      </c>
      <c r="C1007" s="1" t="s">
        <v>1045</v>
      </c>
      <c r="D1007" s="1" t="s">
        <v>53</v>
      </c>
      <c r="E1007" s="1" t="s">
        <v>30</v>
      </c>
      <c r="F1007" s="1" t="s">
        <v>1241</v>
      </c>
      <c r="G1007" s="1" t="s">
        <v>18</v>
      </c>
      <c r="H1007" s="1">
        <v>3</v>
      </c>
      <c r="I1007" s="1">
        <f>Table1[[#This Row],[Units_Sold]]*Table1[[#This Row],[Unit_Price]]</f>
        <v>64.59</v>
      </c>
      <c r="J1007" s="1">
        <v>21.53</v>
      </c>
      <c r="K1007" s="1">
        <v>0</v>
      </c>
      <c r="L1007" s="1">
        <v>64.59</v>
      </c>
      <c r="M1007" s="1">
        <v>13.01</v>
      </c>
      <c r="N1007" s="1">
        <v>26</v>
      </c>
      <c r="O1007" s="1" t="s">
        <v>19</v>
      </c>
      <c r="P1007" s="1" t="s">
        <v>43</v>
      </c>
    </row>
    <row r="1008" spans="1:16" x14ac:dyDescent="0.3">
      <c r="A1008" s="1">
        <v>100640</v>
      </c>
      <c r="B1008" s="2">
        <v>45042</v>
      </c>
      <c r="C1008" s="1" t="s">
        <v>1046</v>
      </c>
      <c r="D1008" s="1" t="s">
        <v>77</v>
      </c>
      <c r="E1008" s="1" t="s">
        <v>30</v>
      </c>
      <c r="F1008" s="1" t="s">
        <v>1237</v>
      </c>
      <c r="G1008" s="1" t="s">
        <v>18</v>
      </c>
      <c r="H1008" s="1">
        <v>4</v>
      </c>
      <c r="I1008" s="1">
        <f>Table1[[#This Row],[Units_Sold]]*Table1[[#This Row],[Unit_Price]]</f>
        <v>152.96</v>
      </c>
      <c r="J1008" s="1">
        <v>38.24</v>
      </c>
      <c r="K1008" s="1">
        <v>5</v>
      </c>
      <c r="L1008" s="1">
        <v>145.31</v>
      </c>
      <c r="M1008" s="1">
        <v>46.46</v>
      </c>
      <c r="N1008" s="1">
        <v>25</v>
      </c>
      <c r="O1008" s="1" t="s">
        <v>19</v>
      </c>
      <c r="P1008" s="1" t="s">
        <v>20</v>
      </c>
    </row>
    <row r="1009" spans="1:16" x14ac:dyDescent="0.3">
      <c r="A1009" s="1">
        <v>101189</v>
      </c>
      <c r="B1009" s="2">
        <v>44970</v>
      </c>
      <c r="C1009" s="1" t="s">
        <v>1047</v>
      </c>
      <c r="D1009" s="1" t="s">
        <v>59</v>
      </c>
      <c r="E1009" s="1" t="s">
        <v>17</v>
      </c>
      <c r="F1009" s="1" t="s">
        <v>1238</v>
      </c>
      <c r="G1009" s="1" t="s">
        <v>31</v>
      </c>
      <c r="H1009" s="1">
        <v>3</v>
      </c>
      <c r="I1009" s="1">
        <f>Table1[[#This Row],[Units_Sold]]*Table1[[#This Row],[Unit_Price]]</f>
        <v>90.6</v>
      </c>
      <c r="J1009" s="1">
        <v>30.2</v>
      </c>
      <c r="K1009" s="1">
        <v>0</v>
      </c>
      <c r="L1009" s="1">
        <v>90.6</v>
      </c>
      <c r="M1009" s="1">
        <v>23.02</v>
      </c>
      <c r="N1009" s="1">
        <v>44</v>
      </c>
      <c r="O1009" s="1" t="s">
        <v>26</v>
      </c>
      <c r="P1009" s="1" t="s">
        <v>35</v>
      </c>
    </row>
    <row r="1010" spans="1:16" x14ac:dyDescent="0.3">
      <c r="A1010" s="1">
        <v>101142</v>
      </c>
      <c r="B1010" s="2">
        <v>45809</v>
      </c>
      <c r="C1010" s="1" t="s">
        <v>1048</v>
      </c>
      <c r="D1010" s="1" t="s">
        <v>34</v>
      </c>
      <c r="E1010" s="1" t="s">
        <v>30</v>
      </c>
      <c r="F1010" s="1" t="s">
        <v>1241</v>
      </c>
      <c r="G1010" s="1" t="s">
        <v>31</v>
      </c>
      <c r="H1010" s="1">
        <v>3</v>
      </c>
      <c r="I1010" s="1">
        <f>Table1[[#This Row],[Units_Sold]]*Table1[[#This Row],[Unit_Price]]</f>
        <v>190.14000000000001</v>
      </c>
      <c r="J1010" s="1">
        <v>63.38</v>
      </c>
      <c r="K1010" s="1">
        <v>20</v>
      </c>
      <c r="L1010" s="1">
        <v>152.11000000000001</v>
      </c>
      <c r="M1010" s="1">
        <v>48.89</v>
      </c>
      <c r="N1010" s="1">
        <v>31</v>
      </c>
      <c r="O1010" s="1" t="s">
        <v>19</v>
      </c>
      <c r="P1010" s="1" t="s">
        <v>81</v>
      </c>
    </row>
    <row r="1011" spans="1:16" x14ac:dyDescent="0.3">
      <c r="A1011" s="1">
        <v>100550</v>
      </c>
      <c r="B1011" s="2">
        <v>45691</v>
      </c>
      <c r="C1011" s="1" t="s">
        <v>1049</v>
      </c>
      <c r="D1011" s="1" t="s">
        <v>87</v>
      </c>
      <c r="E1011" s="1" t="s">
        <v>25</v>
      </c>
      <c r="F1011" s="1" t="s">
        <v>1237</v>
      </c>
      <c r="G1011" s="1" t="s">
        <v>31</v>
      </c>
      <c r="H1011" s="1">
        <v>3</v>
      </c>
      <c r="I1011" s="1">
        <f>Table1[[#This Row],[Units_Sold]]*Table1[[#This Row],[Unit_Price]]</f>
        <v>261.60000000000002</v>
      </c>
      <c r="J1011" s="1">
        <v>87.2</v>
      </c>
      <c r="K1011" s="1">
        <v>0</v>
      </c>
      <c r="L1011" s="1">
        <v>261.60000000000002</v>
      </c>
      <c r="M1011" s="1">
        <v>63.47</v>
      </c>
      <c r="N1011" s="1">
        <v>16</v>
      </c>
      <c r="O1011" s="1" t="s">
        <v>19</v>
      </c>
      <c r="P1011" s="1" t="s">
        <v>32</v>
      </c>
    </row>
    <row r="1012" spans="1:16" x14ac:dyDescent="0.3">
      <c r="A1012" s="1">
        <v>100639</v>
      </c>
      <c r="B1012" s="2">
        <v>45656</v>
      </c>
      <c r="C1012" s="1" t="s">
        <v>1050</v>
      </c>
      <c r="D1012" s="1" t="s">
        <v>56</v>
      </c>
      <c r="E1012" s="1" t="s">
        <v>30</v>
      </c>
      <c r="F1012" s="1" t="s">
        <v>1239</v>
      </c>
      <c r="G1012" s="1" t="s">
        <v>31</v>
      </c>
      <c r="H1012" s="1">
        <v>1</v>
      </c>
      <c r="I1012" s="1">
        <f>Table1[[#This Row],[Units_Sold]]*Table1[[#This Row],[Unit_Price]]</f>
        <v>48.04</v>
      </c>
      <c r="J1012" s="1">
        <v>48.04</v>
      </c>
      <c r="K1012" s="1">
        <v>40</v>
      </c>
      <c r="L1012" s="1">
        <v>28.82</v>
      </c>
      <c r="M1012" s="1">
        <v>13.53</v>
      </c>
      <c r="N1012" s="1">
        <v>23</v>
      </c>
      <c r="O1012" s="1" t="s">
        <v>26</v>
      </c>
      <c r="P1012" s="1" t="s">
        <v>81</v>
      </c>
    </row>
    <row r="1013" spans="1:16" x14ac:dyDescent="0.3">
      <c r="A1013" s="1">
        <v>100935</v>
      </c>
      <c r="B1013" s="2">
        <v>45131</v>
      </c>
      <c r="C1013" s="1" t="s">
        <v>1051</v>
      </c>
      <c r="D1013" s="1" t="s">
        <v>24</v>
      </c>
      <c r="E1013" s="1" t="s">
        <v>25</v>
      </c>
      <c r="F1013" s="1" t="s">
        <v>1241</v>
      </c>
      <c r="G1013" s="1" t="s">
        <v>18</v>
      </c>
      <c r="H1013" s="1">
        <v>1</v>
      </c>
      <c r="I1013" s="1">
        <f>Table1[[#This Row],[Units_Sold]]*Table1[[#This Row],[Unit_Price]]</f>
        <v>76.73</v>
      </c>
      <c r="J1013" s="1">
        <v>76.73</v>
      </c>
      <c r="K1013" s="1">
        <v>10</v>
      </c>
      <c r="L1013" s="1">
        <v>69.06</v>
      </c>
      <c r="M1013" s="1">
        <v>23.17</v>
      </c>
      <c r="N1013" s="1">
        <v>54</v>
      </c>
      <c r="O1013" s="1" t="s">
        <v>19</v>
      </c>
      <c r="P1013" s="1" t="s">
        <v>27</v>
      </c>
    </row>
    <row r="1014" spans="1:16" x14ac:dyDescent="0.3">
      <c r="A1014" s="1">
        <v>100928</v>
      </c>
      <c r="B1014" s="2">
        <v>45346</v>
      </c>
      <c r="C1014" s="1" t="s">
        <v>1052</v>
      </c>
      <c r="D1014" s="1" t="s">
        <v>29</v>
      </c>
      <c r="E1014" s="1" t="s">
        <v>30</v>
      </c>
      <c r="F1014" s="1" t="s">
        <v>1241</v>
      </c>
      <c r="G1014" s="1" t="s">
        <v>18</v>
      </c>
      <c r="H1014" s="1">
        <v>3</v>
      </c>
      <c r="I1014" s="1">
        <f>Table1[[#This Row],[Units_Sold]]*Table1[[#This Row],[Unit_Price]]</f>
        <v>55.050000000000004</v>
      </c>
      <c r="J1014" s="1">
        <v>18.350000000000001</v>
      </c>
      <c r="K1014" s="1">
        <v>20</v>
      </c>
      <c r="L1014" s="1">
        <v>44.04</v>
      </c>
      <c r="M1014" s="1">
        <v>18.399999999999999</v>
      </c>
      <c r="N1014" s="1">
        <v>38</v>
      </c>
      <c r="O1014" s="1" t="s">
        <v>26</v>
      </c>
      <c r="P1014" s="1" t="s">
        <v>46</v>
      </c>
    </row>
    <row r="1015" spans="1:16" x14ac:dyDescent="0.3">
      <c r="A1015" s="1">
        <v>100488</v>
      </c>
      <c r="B1015" s="2">
        <v>45728</v>
      </c>
      <c r="C1015" s="1" t="s">
        <v>1053</v>
      </c>
      <c r="D1015" s="1" t="s">
        <v>42</v>
      </c>
      <c r="E1015" s="1" t="s">
        <v>25</v>
      </c>
      <c r="F1015" s="1" t="s">
        <v>1238</v>
      </c>
      <c r="G1015" s="1" t="s">
        <v>31</v>
      </c>
      <c r="H1015" s="1">
        <v>1</v>
      </c>
      <c r="I1015" s="1">
        <f>Table1[[#This Row],[Units_Sold]]*Table1[[#This Row],[Unit_Price]]</f>
        <v>143.94</v>
      </c>
      <c r="J1015" s="1">
        <v>143.94</v>
      </c>
      <c r="K1015" s="1">
        <v>10</v>
      </c>
      <c r="L1015" s="1">
        <v>129.55000000000001</v>
      </c>
      <c r="M1015" s="1">
        <v>29.34</v>
      </c>
      <c r="N1015" s="1">
        <v>25</v>
      </c>
      <c r="O1015" s="1" t="s">
        <v>19</v>
      </c>
      <c r="P1015" s="1" t="s">
        <v>81</v>
      </c>
    </row>
    <row r="1016" spans="1:16" x14ac:dyDescent="0.3">
      <c r="A1016" s="1">
        <v>100819</v>
      </c>
      <c r="B1016" s="2">
        <v>45433</v>
      </c>
      <c r="C1016" s="1" t="s">
        <v>1054</v>
      </c>
      <c r="D1016" s="1" t="s">
        <v>100</v>
      </c>
      <c r="E1016" s="1" t="s">
        <v>25</v>
      </c>
      <c r="F1016" s="1" t="s">
        <v>1238</v>
      </c>
      <c r="G1016" s="1" t="s">
        <v>31</v>
      </c>
      <c r="H1016" s="1">
        <v>2</v>
      </c>
      <c r="I1016" s="1">
        <f>Table1[[#This Row],[Units_Sold]]*Table1[[#This Row],[Unit_Price]]</f>
        <v>281.92</v>
      </c>
      <c r="J1016" s="1">
        <v>140.96</v>
      </c>
      <c r="K1016" s="1">
        <v>0</v>
      </c>
      <c r="L1016" s="1">
        <v>281.92</v>
      </c>
      <c r="M1016" s="1">
        <v>97.1</v>
      </c>
      <c r="N1016" s="1">
        <v>32</v>
      </c>
      <c r="O1016" s="1" t="s">
        <v>26</v>
      </c>
      <c r="P1016" s="1" t="s">
        <v>20</v>
      </c>
    </row>
    <row r="1017" spans="1:16" x14ac:dyDescent="0.3">
      <c r="A1017" s="1">
        <v>100710</v>
      </c>
      <c r="B1017" s="2">
        <v>45273</v>
      </c>
      <c r="C1017" s="1" t="s">
        <v>1055</v>
      </c>
      <c r="D1017" s="1" t="s">
        <v>87</v>
      </c>
      <c r="E1017" s="1" t="s">
        <v>25</v>
      </c>
      <c r="F1017" s="1" t="s">
        <v>1239</v>
      </c>
      <c r="G1017" s="1" t="s">
        <v>18</v>
      </c>
      <c r="H1017" s="1">
        <v>2</v>
      </c>
      <c r="I1017" s="1">
        <f>Table1[[#This Row],[Units_Sold]]*Table1[[#This Row],[Unit_Price]]</f>
        <v>151.12</v>
      </c>
      <c r="J1017" s="1">
        <v>75.56</v>
      </c>
      <c r="K1017" s="1">
        <v>0</v>
      </c>
      <c r="L1017" s="1">
        <v>151.12</v>
      </c>
      <c r="M1017" s="1">
        <v>33.24</v>
      </c>
      <c r="N1017" s="1">
        <v>22</v>
      </c>
      <c r="O1017" s="1" t="s">
        <v>19</v>
      </c>
      <c r="P1017" s="1" t="s">
        <v>20</v>
      </c>
    </row>
    <row r="1018" spans="1:16" x14ac:dyDescent="0.3">
      <c r="A1018" s="1">
        <v>101080</v>
      </c>
      <c r="B1018" s="2">
        <v>45595</v>
      </c>
      <c r="C1018" s="1" t="s">
        <v>1056</v>
      </c>
      <c r="D1018" s="1" t="s">
        <v>62</v>
      </c>
      <c r="E1018" s="1" t="s">
        <v>17</v>
      </c>
      <c r="F1018" s="1" t="s">
        <v>1241</v>
      </c>
      <c r="G1018" s="1" t="s">
        <v>48</v>
      </c>
      <c r="H1018" s="1">
        <v>2</v>
      </c>
      <c r="I1018" s="1">
        <f>Table1[[#This Row],[Units_Sold]]*Table1[[#This Row],[Unit_Price]]</f>
        <v>237.32</v>
      </c>
      <c r="J1018" s="1">
        <v>118.66</v>
      </c>
      <c r="K1018" s="1">
        <v>0</v>
      </c>
      <c r="L1018" s="1">
        <v>237.32</v>
      </c>
      <c r="M1018" s="1">
        <v>70.12</v>
      </c>
      <c r="N1018" s="1">
        <v>24</v>
      </c>
      <c r="O1018" s="1" t="s">
        <v>19</v>
      </c>
      <c r="P1018" s="1" t="s">
        <v>51</v>
      </c>
    </row>
    <row r="1019" spans="1:16" x14ac:dyDescent="0.3">
      <c r="A1019" s="1">
        <v>100147</v>
      </c>
      <c r="B1019" s="2">
        <v>45402</v>
      </c>
      <c r="C1019" s="1" t="s">
        <v>1057</v>
      </c>
      <c r="D1019" s="1" t="s">
        <v>77</v>
      </c>
      <c r="E1019" s="1" t="s">
        <v>30</v>
      </c>
      <c r="F1019" s="1" t="s">
        <v>1238</v>
      </c>
      <c r="G1019" s="1" t="s">
        <v>64</v>
      </c>
      <c r="H1019" s="1">
        <v>2</v>
      </c>
      <c r="I1019" s="1">
        <f>Table1[[#This Row],[Units_Sold]]*Table1[[#This Row],[Unit_Price]]</f>
        <v>83.98</v>
      </c>
      <c r="J1019" s="1">
        <v>41.99</v>
      </c>
      <c r="K1019" s="1">
        <v>0</v>
      </c>
      <c r="L1019" s="1">
        <v>83.98</v>
      </c>
      <c r="M1019" s="1">
        <v>29.95</v>
      </c>
      <c r="N1019" s="1">
        <v>34</v>
      </c>
      <c r="O1019" s="1" t="s">
        <v>19</v>
      </c>
      <c r="P1019" s="1" t="s">
        <v>43</v>
      </c>
    </row>
    <row r="1020" spans="1:16" x14ac:dyDescent="0.3">
      <c r="A1020" s="1">
        <v>100146</v>
      </c>
      <c r="B1020" s="2">
        <v>45168</v>
      </c>
      <c r="C1020" s="1" t="s">
        <v>1058</v>
      </c>
      <c r="D1020" s="1" t="s">
        <v>87</v>
      </c>
      <c r="E1020" s="1" t="s">
        <v>25</v>
      </c>
      <c r="F1020" s="1" t="s">
        <v>1241</v>
      </c>
      <c r="G1020" s="1" t="s">
        <v>31</v>
      </c>
      <c r="H1020" s="1">
        <v>3</v>
      </c>
      <c r="I1020" s="1">
        <f>Table1[[#This Row],[Units_Sold]]*Table1[[#This Row],[Unit_Price]]</f>
        <v>232.79999999999998</v>
      </c>
      <c r="J1020" s="1">
        <v>77.599999999999994</v>
      </c>
      <c r="K1020" s="1">
        <v>10</v>
      </c>
      <c r="L1020" s="1">
        <v>209.52</v>
      </c>
      <c r="M1020" s="1">
        <v>72.59</v>
      </c>
      <c r="N1020" s="1">
        <v>29</v>
      </c>
      <c r="O1020" s="1" t="s">
        <v>19</v>
      </c>
      <c r="P1020" s="1" t="s">
        <v>27</v>
      </c>
    </row>
    <row r="1021" spans="1:16" x14ac:dyDescent="0.3">
      <c r="A1021" s="1">
        <v>101174</v>
      </c>
      <c r="B1021" s="2">
        <v>45869</v>
      </c>
      <c r="C1021" s="1" t="s">
        <v>1059</v>
      </c>
      <c r="D1021" s="1" t="s">
        <v>16</v>
      </c>
      <c r="E1021" s="1" t="s">
        <v>17</v>
      </c>
      <c r="F1021" s="1" t="s">
        <v>1241</v>
      </c>
      <c r="G1021" s="1" t="s">
        <v>18</v>
      </c>
      <c r="H1021" s="1">
        <v>2</v>
      </c>
      <c r="I1021" s="1">
        <f>Table1[[#This Row],[Units_Sold]]*Table1[[#This Row],[Unit_Price]]</f>
        <v>106.6</v>
      </c>
      <c r="J1021" s="1">
        <v>53.3</v>
      </c>
      <c r="K1021" s="1">
        <v>0</v>
      </c>
      <c r="L1021" s="1">
        <v>106.6</v>
      </c>
      <c r="M1021" s="1">
        <v>22.83</v>
      </c>
      <c r="N1021" s="1">
        <v>32</v>
      </c>
      <c r="O1021" s="1" t="s">
        <v>19</v>
      </c>
      <c r="P1021" s="1" t="s">
        <v>35</v>
      </c>
    </row>
    <row r="1022" spans="1:16" x14ac:dyDescent="0.3">
      <c r="A1022" s="1">
        <v>100962</v>
      </c>
      <c r="B1022" s="2">
        <v>45578</v>
      </c>
      <c r="C1022" s="1" t="s">
        <v>1060</v>
      </c>
      <c r="D1022" s="1" t="s">
        <v>77</v>
      </c>
      <c r="E1022" s="1" t="s">
        <v>30</v>
      </c>
      <c r="F1022" s="1" t="s">
        <v>1238</v>
      </c>
      <c r="G1022" s="1" t="s">
        <v>18</v>
      </c>
      <c r="H1022" s="1">
        <v>5</v>
      </c>
      <c r="I1022" s="1">
        <f>Table1[[#This Row],[Units_Sold]]*Table1[[#This Row],[Unit_Price]]</f>
        <v>194.60000000000002</v>
      </c>
      <c r="J1022" s="1">
        <v>38.92</v>
      </c>
      <c r="K1022" s="1">
        <v>0</v>
      </c>
      <c r="L1022" s="1">
        <v>194.6</v>
      </c>
      <c r="M1022" s="1">
        <v>66.099999999999994</v>
      </c>
      <c r="N1022" s="1">
        <v>33</v>
      </c>
      <c r="O1022" s="1" t="s">
        <v>19</v>
      </c>
      <c r="P1022" s="1" t="s">
        <v>32</v>
      </c>
    </row>
    <row r="1023" spans="1:16" x14ac:dyDescent="0.3">
      <c r="A1023" s="1">
        <v>100345</v>
      </c>
      <c r="B1023" s="2">
        <v>45318</v>
      </c>
      <c r="C1023" s="1" t="s">
        <v>1061</v>
      </c>
      <c r="D1023" s="1" t="s">
        <v>34</v>
      </c>
      <c r="E1023" s="1" t="s">
        <v>30</v>
      </c>
      <c r="F1023" s="1" t="s">
        <v>1241</v>
      </c>
      <c r="G1023" s="1" t="s">
        <v>18</v>
      </c>
      <c r="H1023" s="1">
        <v>1</v>
      </c>
      <c r="I1023" s="1">
        <f>Table1[[#This Row],[Units_Sold]]*Table1[[#This Row],[Unit_Price]]</f>
        <v>57.64</v>
      </c>
      <c r="J1023" s="1">
        <v>57.64</v>
      </c>
      <c r="K1023" s="1">
        <v>20</v>
      </c>
      <c r="L1023" s="1">
        <v>46.11</v>
      </c>
      <c r="M1023" s="1">
        <v>14.49</v>
      </c>
      <c r="N1023" s="1">
        <v>24</v>
      </c>
      <c r="O1023" s="1" t="s">
        <v>26</v>
      </c>
      <c r="P1023" s="1" t="s">
        <v>35</v>
      </c>
    </row>
    <row r="1024" spans="1:16" x14ac:dyDescent="0.3">
      <c r="A1024" s="1">
        <v>100402</v>
      </c>
      <c r="B1024" s="2">
        <v>44965</v>
      </c>
      <c r="C1024" s="1" t="s">
        <v>1062</v>
      </c>
      <c r="D1024" s="1" t="s">
        <v>45</v>
      </c>
      <c r="E1024" s="1" t="s">
        <v>30</v>
      </c>
      <c r="F1024" s="1" t="s">
        <v>1238</v>
      </c>
      <c r="G1024" s="1" t="s">
        <v>18</v>
      </c>
      <c r="H1024" s="1">
        <v>2</v>
      </c>
      <c r="I1024" s="1">
        <f>Table1[[#This Row],[Units_Sold]]*Table1[[#This Row],[Unit_Price]]</f>
        <v>24.82</v>
      </c>
      <c r="J1024" s="1">
        <v>12.41</v>
      </c>
      <c r="K1024" s="1">
        <v>20</v>
      </c>
      <c r="L1024" s="1">
        <v>19.86</v>
      </c>
      <c r="M1024" s="1">
        <v>6.91</v>
      </c>
      <c r="N1024" s="1">
        <v>37</v>
      </c>
      <c r="O1024" s="1" t="s">
        <v>26</v>
      </c>
      <c r="P1024" s="1" t="s">
        <v>51</v>
      </c>
    </row>
    <row r="1025" spans="1:16" x14ac:dyDescent="0.3">
      <c r="A1025" s="1">
        <v>100931</v>
      </c>
      <c r="B1025" s="2">
        <v>45788</v>
      </c>
      <c r="C1025" s="1" t="s">
        <v>1063</v>
      </c>
      <c r="D1025" s="1" t="s">
        <v>42</v>
      </c>
      <c r="E1025" s="1" t="s">
        <v>25</v>
      </c>
      <c r="F1025" s="1" t="s">
        <v>1241</v>
      </c>
      <c r="G1025" s="1" t="s">
        <v>18</v>
      </c>
      <c r="H1025" s="1">
        <v>4</v>
      </c>
      <c r="I1025" s="1">
        <f>Table1[[#This Row],[Units_Sold]]*Table1[[#This Row],[Unit_Price]]</f>
        <v>697.32</v>
      </c>
      <c r="J1025" s="1">
        <v>174.33</v>
      </c>
      <c r="K1025" s="1">
        <v>20</v>
      </c>
      <c r="L1025" s="1">
        <v>557.86</v>
      </c>
      <c r="M1025" s="1">
        <v>139.22999999999999</v>
      </c>
      <c r="N1025" s="1">
        <v>16</v>
      </c>
      <c r="O1025" s="1" t="s">
        <v>26</v>
      </c>
      <c r="P1025" s="1" t="s">
        <v>32</v>
      </c>
    </row>
    <row r="1026" spans="1:16" x14ac:dyDescent="0.3">
      <c r="A1026" s="1">
        <v>100954</v>
      </c>
      <c r="B1026" s="2">
        <v>45085</v>
      </c>
      <c r="C1026" s="1" t="s">
        <v>1064</v>
      </c>
      <c r="D1026" s="1" t="s">
        <v>73</v>
      </c>
      <c r="E1026" s="1" t="s">
        <v>25</v>
      </c>
      <c r="F1026" s="1" t="s">
        <v>1239</v>
      </c>
      <c r="G1026" s="1" t="s">
        <v>31</v>
      </c>
      <c r="H1026" s="1">
        <v>2</v>
      </c>
      <c r="I1026" s="1">
        <f>Table1[[#This Row],[Units_Sold]]*Table1[[#This Row],[Unit_Price]]</f>
        <v>67.2</v>
      </c>
      <c r="J1026" s="1">
        <v>33.6</v>
      </c>
      <c r="K1026" s="1">
        <v>10</v>
      </c>
      <c r="L1026" s="1">
        <v>60.48</v>
      </c>
      <c r="M1026" s="1">
        <v>17.829999999999998</v>
      </c>
      <c r="N1026" s="1">
        <v>32</v>
      </c>
      <c r="O1026" s="1" t="s">
        <v>26</v>
      </c>
      <c r="P1026" s="1" t="s">
        <v>32</v>
      </c>
    </row>
    <row r="1027" spans="1:16" x14ac:dyDescent="0.3">
      <c r="A1027" s="1">
        <v>101124</v>
      </c>
      <c r="B1027" s="2">
        <v>45311</v>
      </c>
      <c r="C1027" s="1" t="s">
        <v>1065</v>
      </c>
      <c r="D1027" s="1" t="s">
        <v>66</v>
      </c>
      <c r="E1027" s="1" t="s">
        <v>17</v>
      </c>
      <c r="F1027" s="1" t="s">
        <v>1238</v>
      </c>
      <c r="G1027" s="1" t="s">
        <v>18</v>
      </c>
      <c r="H1027" s="1">
        <v>4</v>
      </c>
      <c r="I1027" s="1">
        <f>Table1[[#This Row],[Units_Sold]]*Table1[[#This Row],[Unit_Price]]</f>
        <v>491.8</v>
      </c>
      <c r="J1027" s="1">
        <v>122.95</v>
      </c>
      <c r="K1027" s="1">
        <v>0</v>
      </c>
      <c r="L1027" s="1">
        <v>491.8</v>
      </c>
      <c r="M1027" s="1">
        <v>101.2</v>
      </c>
      <c r="N1027" s="1">
        <v>18</v>
      </c>
      <c r="O1027" s="1" t="s">
        <v>26</v>
      </c>
      <c r="P1027" s="1" t="s">
        <v>35</v>
      </c>
    </row>
    <row r="1028" spans="1:16" x14ac:dyDescent="0.3">
      <c r="A1028" s="1">
        <v>100659</v>
      </c>
      <c r="B1028" s="2">
        <v>45038</v>
      </c>
      <c r="C1028" s="1" t="s">
        <v>1066</v>
      </c>
      <c r="D1028" s="1" t="s">
        <v>68</v>
      </c>
      <c r="E1028" s="1" t="s">
        <v>25</v>
      </c>
      <c r="F1028" s="1" t="s">
        <v>1238</v>
      </c>
      <c r="G1028" s="1" t="s">
        <v>31</v>
      </c>
      <c r="H1028" s="1">
        <v>3</v>
      </c>
      <c r="I1028" s="1">
        <f>Table1[[#This Row],[Units_Sold]]*Table1[[#This Row],[Unit_Price]]</f>
        <v>598.29</v>
      </c>
      <c r="J1028" s="1">
        <v>199.43</v>
      </c>
      <c r="K1028" s="1">
        <v>0</v>
      </c>
      <c r="L1028" s="1">
        <v>598.29</v>
      </c>
      <c r="M1028" s="1">
        <v>224.28</v>
      </c>
      <c r="N1028" s="1">
        <v>44</v>
      </c>
      <c r="O1028" s="1" t="s">
        <v>26</v>
      </c>
      <c r="P1028" s="1" t="s">
        <v>46</v>
      </c>
    </row>
    <row r="1029" spans="1:16" x14ac:dyDescent="0.3">
      <c r="A1029" s="1">
        <v>100463</v>
      </c>
      <c r="B1029" s="2">
        <v>45622</v>
      </c>
      <c r="C1029" s="1" t="s">
        <v>1067</v>
      </c>
      <c r="D1029" s="1" t="s">
        <v>66</v>
      </c>
      <c r="E1029" s="1" t="s">
        <v>17</v>
      </c>
      <c r="F1029" s="1" t="s">
        <v>1238</v>
      </c>
      <c r="G1029" s="1" t="s">
        <v>18</v>
      </c>
      <c r="H1029" s="1">
        <v>3</v>
      </c>
      <c r="I1029" s="1">
        <f>Table1[[#This Row],[Units_Sold]]*Table1[[#This Row],[Unit_Price]]</f>
        <v>353.96999999999997</v>
      </c>
      <c r="J1029" s="1">
        <v>117.99</v>
      </c>
      <c r="K1029" s="1">
        <v>0</v>
      </c>
      <c r="L1029" s="1">
        <v>353.97</v>
      </c>
      <c r="M1029" s="1">
        <v>116.32</v>
      </c>
      <c r="N1029" s="1">
        <v>27</v>
      </c>
      <c r="O1029" s="1" t="s">
        <v>26</v>
      </c>
      <c r="P1029" s="1" t="s">
        <v>27</v>
      </c>
    </row>
    <row r="1030" spans="1:16" x14ac:dyDescent="0.3">
      <c r="A1030" s="1">
        <v>100186</v>
      </c>
      <c r="B1030" s="2">
        <v>45800</v>
      </c>
      <c r="C1030" s="1" t="s">
        <v>1068</v>
      </c>
      <c r="D1030" s="1" t="s">
        <v>24</v>
      </c>
      <c r="E1030" s="1" t="s">
        <v>25</v>
      </c>
      <c r="F1030" s="1" t="s">
        <v>1239</v>
      </c>
      <c r="G1030" s="1" t="s">
        <v>18</v>
      </c>
      <c r="H1030" s="1">
        <v>4</v>
      </c>
      <c r="I1030" s="1">
        <f>Table1[[#This Row],[Units_Sold]]*Table1[[#This Row],[Unit_Price]]</f>
        <v>331.84</v>
      </c>
      <c r="J1030" s="1">
        <v>82.96</v>
      </c>
      <c r="K1030" s="1">
        <v>5</v>
      </c>
      <c r="L1030" s="1">
        <v>315.25</v>
      </c>
      <c r="M1030" s="1">
        <v>106.56</v>
      </c>
      <c r="N1030" s="1">
        <v>22</v>
      </c>
      <c r="O1030" s="1" t="s">
        <v>26</v>
      </c>
      <c r="P1030" s="1" t="s">
        <v>43</v>
      </c>
    </row>
    <row r="1031" spans="1:16" x14ac:dyDescent="0.3">
      <c r="A1031" s="1">
        <v>100608</v>
      </c>
      <c r="B1031" s="2">
        <v>45569</v>
      </c>
      <c r="C1031" s="1" t="s">
        <v>1069</v>
      </c>
      <c r="D1031" s="1" t="s">
        <v>29</v>
      </c>
      <c r="E1031" s="1" t="s">
        <v>30</v>
      </c>
      <c r="F1031" s="1" t="s">
        <v>1238</v>
      </c>
      <c r="G1031" s="1" t="s">
        <v>18</v>
      </c>
      <c r="H1031" s="1">
        <v>2</v>
      </c>
      <c r="I1031" s="1">
        <f>Table1[[#This Row],[Units_Sold]]*Table1[[#This Row],[Unit_Price]]</f>
        <v>37.799999999999997</v>
      </c>
      <c r="J1031" s="1">
        <v>18.899999999999999</v>
      </c>
      <c r="K1031" s="1">
        <v>0</v>
      </c>
      <c r="L1031" s="1">
        <v>37.799999999999997</v>
      </c>
      <c r="M1031" s="1">
        <v>11.84</v>
      </c>
      <c r="N1031" s="1">
        <v>22</v>
      </c>
      <c r="O1031" s="1" t="s">
        <v>19</v>
      </c>
      <c r="P1031" s="1" t="s">
        <v>32</v>
      </c>
    </row>
    <row r="1032" spans="1:16" x14ac:dyDescent="0.3">
      <c r="A1032" s="1">
        <v>100143</v>
      </c>
      <c r="B1032" s="2">
        <v>45223</v>
      </c>
      <c r="C1032" s="1" t="s">
        <v>1070</v>
      </c>
      <c r="D1032" s="1" t="s">
        <v>87</v>
      </c>
      <c r="E1032" s="1" t="s">
        <v>25</v>
      </c>
      <c r="F1032" s="1" t="s">
        <v>1240</v>
      </c>
      <c r="G1032" s="1" t="s">
        <v>18</v>
      </c>
      <c r="H1032" s="1">
        <v>4</v>
      </c>
      <c r="I1032" s="1">
        <f>Table1[[#This Row],[Units_Sold]]*Table1[[#This Row],[Unit_Price]]</f>
        <v>411.6</v>
      </c>
      <c r="J1032" s="1">
        <v>102.9</v>
      </c>
      <c r="K1032" s="1">
        <v>5</v>
      </c>
      <c r="L1032" s="1">
        <v>391.02</v>
      </c>
      <c r="M1032" s="1">
        <v>106.05</v>
      </c>
      <c r="N1032" s="1">
        <v>30</v>
      </c>
      <c r="O1032" s="1" t="s">
        <v>19</v>
      </c>
      <c r="P1032" s="1" t="s">
        <v>46</v>
      </c>
    </row>
    <row r="1033" spans="1:16" x14ac:dyDescent="0.3">
      <c r="A1033" s="1">
        <v>100751</v>
      </c>
      <c r="B1033" s="2">
        <v>45026</v>
      </c>
      <c r="C1033" s="1" t="s">
        <v>1071</v>
      </c>
      <c r="D1033" s="1" t="s">
        <v>34</v>
      </c>
      <c r="E1033" s="1" t="s">
        <v>30</v>
      </c>
      <c r="F1033" s="1" t="s">
        <v>1238</v>
      </c>
      <c r="G1033" s="1" t="s">
        <v>18</v>
      </c>
      <c r="H1033" s="1">
        <v>1</v>
      </c>
      <c r="I1033" s="1">
        <f>Table1[[#This Row],[Units_Sold]]*Table1[[#This Row],[Unit_Price]]</f>
        <v>60.95</v>
      </c>
      <c r="J1033" s="1">
        <v>60.95</v>
      </c>
      <c r="K1033" s="1">
        <v>5</v>
      </c>
      <c r="L1033" s="1">
        <v>57.9</v>
      </c>
      <c r="M1033" s="1">
        <v>23.88</v>
      </c>
      <c r="N1033" s="1">
        <v>28</v>
      </c>
      <c r="O1033" s="1" t="s">
        <v>19</v>
      </c>
      <c r="P1033" s="1" t="s">
        <v>51</v>
      </c>
    </row>
    <row r="1034" spans="1:16" x14ac:dyDescent="0.3">
      <c r="A1034" s="1">
        <v>100981</v>
      </c>
      <c r="B1034" s="2">
        <v>45192</v>
      </c>
      <c r="C1034" s="1" t="s">
        <v>1072</v>
      </c>
      <c r="D1034" s="1" t="s">
        <v>87</v>
      </c>
      <c r="E1034" s="1" t="s">
        <v>25</v>
      </c>
      <c r="F1034" s="1" t="s">
        <v>1241</v>
      </c>
      <c r="G1034" s="1" t="s">
        <v>18</v>
      </c>
      <c r="H1034" s="1">
        <v>4</v>
      </c>
      <c r="I1034" s="1">
        <f>Table1[[#This Row],[Units_Sold]]*Table1[[#This Row],[Unit_Price]]</f>
        <v>331.56</v>
      </c>
      <c r="J1034" s="1">
        <v>82.89</v>
      </c>
      <c r="K1034" s="1">
        <v>5</v>
      </c>
      <c r="L1034" s="1">
        <v>314.98</v>
      </c>
      <c r="M1034" s="1">
        <v>108.31</v>
      </c>
      <c r="N1034" s="1">
        <v>28</v>
      </c>
      <c r="O1034" s="1" t="s">
        <v>19</v>
      </c>
      <c r="P1034" s="1" t="s">
        <v>51</v>
      </c>
    </row>
    <row r="1035" spans="1:16" x14ac:dyDescent="0.3">
      <c r="A1035" s="1">
        <v>100197</v>
      </c>
      <c r="B1035" s="2">
        <v>45678</v>
      </c>
      <c r="C1035" s="1" t="s">
        <v>1073</v>
      </c>
      <c r="D1035" s="1" t="s">
        <v>59</v>
      </c>
      <c r="E1035" s="1" t="s">
        <v>17</v>
      </c>
      <c r="F1035" s="1" t="s">
        <v>1241</v>
      </c>
      <c r="G1035" s="1" t="s">
        <v>18</v>
      </c>
      <c r="H1035" s="1">
        <v>4</v>
      </c>
      <c r="I1035" s="1">
        <f>Table1[[#This Row],[Units_Sold]]*Table1[[#This Row],[Unit_Price]]</f>
        <v>130.04</v>
      </c>
      <c r="J1035" s="1">
        <v>32.51</v>
      </c>
      <c r="K1035" s="1">
        <v>0</v>
      </c>
      <c r="L1035" s="1">
        <v>130.04</v>
      </c>
      <c r="M1035" s="1">
        <v>35.06</v>
      </c>
      <c r="N1035" s="1">
        <v>37</v>
      </c>
      <c r="O1035" s="1" t="s">
        <v>19</v>
      </c>
      <c r="P1035" s="1" t="s">
        <v>43</v>
      </c>
    </row>
    <row r="1036" spans="1:16" x14ac:dyDescent="0.3">
      <c r="A1036" s="1">
        <v>100883</v>
      </c>
      <c r="B1036" s="2">
        <v>45567</v>
      </c>
      <c r="C1036" s="1" t="s">
        <v>1074</v>
      </c>
      <c r="D1036" s="1" t="s">
        <v>29</v>
      </c>
      <c r="E1036" s="1" t="s">
        <v>30</v>
      </c>
      <c r="F1036" s="1" t="s">
        <v>1241</v>
      </c>
      <c r="G1036" s="1" t="s">
        <v>18</v>
      </c>
      <c r="H1036" s="1">
        <v>3</v>
      </c>
      <c r="I1036" s="1">
        <f>Table1[[#This Row],[Units_Sold]]*Table1[[#This Row],[Unit_Price]]</f>
        <v>54.480000000000004</v>
      </c>
      <c r="J1036" s="1">
        <v>18.16</v>
      </c>
      <c r="K1036" s="1">
        <v>0</v>
      </c>
      <c r="L1036" s="1">
        <v>54.48</v>
      </c>
      <c r="M1036" s="1">
        <v>10.23</v>
      </c>
      <c r="N1036" s="1">
        <v>46</v>
      </c>
      <c r="O1036" s="1" t="s">
        <v>26</v>
      </c>
      <c r="P1036" s="1" t="s">
        <v>43</v>
      </c>
    </row>
    <row r="1037" spans="1:16" x14ac:dyDescent="0.3">
      <c r="A1037" s="1">
        <v>100279</v>
      </c>
      <c r="B1037" s="2">
        <v>45523</v>
      </c>
      <c r="C1037" s="1" t="s">
        <v>1075</v>
      </c>
      <c r="D1037" s="1" t="s">
        <v>62</v>
      </c>
      <c r="E1037" s="1" t="s">
        <v>17</v>
      </c>
      <c r="F1037" s="1" t="s">
        <v>1239</v>
      </c>
      <c r="G1037" s="1" t="s">
        <v>48</v>
      </c>
      <c r="H1037" s="1">
        <v>2</v>
      </c>
      <c r="I1037" s="1">
        <f>Table1[[#This Row],[Units_Sold]]*Table1[[#This Row],[Unit_Price]]</f>
        <v>266.33999999999997</v>
      </c>
      <c r="J1037" s="1">
        <v>133.16999999999999</v>
      </c>
      <c r="K1037" s="1">
        <v>0</v>
      </c>
      <c r="L1037" s="1">
        <v>266.33999999999997</v>
      </c>
      <c r="M1037" s="1">
        <v>62.03</v>
      </c>
      <c r="N1037" s="1">
        <v>35</v>
      </c>
      <c r="O1037" s="1" t="s">
        <v>26</v>
      </c>
      <c r="P1037" s="1" t="s">
        <v>81</v>
      </c>
    </row>
    <row r="1038" spans="1:16" x14ac:dyDescent="0.3">
      <c r="A1038" s="1">
        <v>100293</v>
      </c>
      <c r="B1038" s="2">
        <v>45222</v>
      </c>
      <c r="C1038" s="1" t="s">
        <v>1076</v>
      </c>
      <c r="D1038" s="1" t="s">
        <v>68</v>
      </c>
      <c r="E1038" s="1" t="s">
        <v>25</v>
      </c>
      <c r="F1038" s="1" t="s">
        <v>1239</v>
      </c>
      <c r="G1038" s="1" t="s">
        <v>31</v>
      </c>
      <c r="H1038" s="1">
        <v>4</v>
      </c>
      <c r="I1038" s="1">
        <f>Table1[[#This Row],[Units_Sold]]*Table1[[#This Row],[Unit_Price]]</f>
        <v>901.24</v>
      </c>
      <c r="J1038" s="1">
        <v>225.31</v>
      </c>
      <c r="K1038" s="1">
        <v>20</v>
      </c>
      <c r="L1038" s="1">
        <v>720.99</v>
      </c>
      <c r="M1038" s="1">
        <v>212.69</v>
      </c>
      <c r="N1038" s="1">
        <v>28</v>
      </c>
      <c r="O1038" s="1" t="s">
        <v>19</v>
      </c>
      <c r="P1038" s="1" t="s">
        <v>81</v>
      </c>
    </row>
    <row r="1039" spans="1:16" x14ac:dyDescent="0.3">
      <c r="A1039" s="1">
        <v>101088</v>
      </c>
      <c r="B1039" s="2">
        <v>45274</v>
      </c>
      <c r="C1039" s="1" t="s">
        <v>1077</v>
      </c>
      <c r="D1039" s="1" t="s">
        <v>16</v>
      </c>
      <c r="E1039" s="1" t="s">
        <v>17</v>
      </c>
      <c r="F1039" s="1" t="s">
        <v>1239</v>
      </c>
      <c r="G1039" s="1" t="s">
        <v>18</v>
      </c>
      <c r="H1039" s="1">
        <v>2</v>
      </c>
      <c r="I1039" s="1">
        <f>Table1[[#This Row],[Units_Sold]]*Table1[[#This Row],[Unit_Price]]</f>
        <v>112.58</v>
      </c>
      <c r="J1039" s="1">
        <v>56.29</v>
      </c>
      <c r="K1039" s="1">
        <v>5</v>
      </c>
      <c r="L1039" s="1">
        <v>106.95</v>
      </c>
      <c r="M1039" s="1">
        <v>34.26</v>
      </c>
      <c r="N1039" s="1">
        <v>22</v>
      </c>
      <c r="O1039" s="1" t="s">
        <v>19</v>
      </c>
      <c r="P1039" s="1" t="s">
        <v>32</v>
      </c>
    </row>
    <row r="1040" spans="1:16" x14ac:dyDescent="0.3">
      <c r="A1040" s="1">
        <v>100400</v>
      </c>
      <c r="B1040" s="2">
        <v>45267</v>
      </c>
      <c r="C1040" s="1" t="s">
        <v>1078</v>
      </c>
      <c r="D1040" s="1" t="s">
        <v>42</v>
      </c>
      <c r="E1040" s="1" t="s">
        <v>25</v>
      </c>
      <c r="F1040" s="1" t="s">
        <v>1241</v>
      </c>
      <c r="G1040" s="1" t="s">
        <v>31</v>
      </c>
      <c r="H1040" s="1">
        <v>1</v>
      </c>
      <c r="I1040" s="1">
        <f>Table1[[#This Row],[Units_Sold]]*Table1[[#This Row],[Unit_Price]]</f>
        <v>165.61</v>
      </c>
      <c r="J1040" s="1">
        <v>165.61</v>
      </c>
      <c r="K1040" s="1">
        <v>5</v>
      </c>
      <c r="L1040" s="1">
        <v>157.33000000000001</v>
      </c>
      <c r="M1040" s="1">
        <v>47.35</v>
      </c>
      <c r="N1040" s="1">
        <v>28</v>
      </c>
      <c r="O1040" s="1" t="s">
        <v>26</v>
      </c>
      <c r="P1040" s="1" t="s">
        <v>35</v>
      </c>
    </row>
    <row r="1041" spans="1:16" x14ac:dyDescent="0.3">
      <c r="A1041" s="1">
        <v>100122</v>
      </c>
      <c r="B1041" s="2">
        <v>45263</v>
      </c>
      <c r="C1041" s="1" t="s">
        <v>1079</v>
      </c>
      <c r="D1041" s="1" t="s">
        <v>68</v>
      </c>
      <c r="E1041" s="1" t="s">
        <v>25</v>
      </c>
      <c r="F1041" s="1" t="s">
        <v>1237</v>
      </c>
      <c r="G1041" s="1" t="s">
        <v>18</v>
      </c>
      <c r="H1041" s="1">
        <v>2</v>
      </c>
      <c r="I1041" s="1">
        <f>Table1[[#This Row],[Units_Sold]]*Table1[[#This Row],[Unit_Price]]</f>
        <v>430.86</v>
      </c>
      <c r="J1041" s="1">
        <v>215.43</v>
      </c>
      <c r="K1041" s="1">
        <v>0</v>
      </c>
      <c r="L1041" s="1">
        <v>430.86</v>
      </c>
      <c r="M1041" s="1">
        <v>96.88</v>
      </c>
      <c r="N1041" s="1">
        <v>16</v>
      </c>
      <c r="O1041" s="1" t="s">
        <v>122</v>
      </c>
      <c r="P1041" s="1" t="s">
        <v>35</v>
      </c>
    </row>
    <row r="1042" spans="1:16" x14ac:dyDescent="0.3">
      <c r="A1042" s="1">
        <v>100202</v>
      </c>
      <c r="B1042" s="2">
        <v>45064</v>
      </c>
      <c r="C1042" s="1" t="s">
        <v>1080</v>
      </c>
      <c r="D1042" s="1" t="s">
        <v>22</v>
      </c>
      <c r="E1042" s="1" t="s">
        <v>17</v>
      </c>
      <c r="F1042" s="1" t="s">
        <v>1237</v>
      </c>
      <c r="G1042" s="1" t="s">
        <v>18</v>
      </c>
      <c r="H1042" s="1">
        <v>3</v>
      </c>
      <c r="I1042" s="1">
        <f>Table1[[#This Row],[Units_Sold]]*Table1[[#This Row],[Unit_Price]]</f>
        <v>77.25</v>
      </c>
      <c r="J1042" s="1">
        <v>25.75</v>
      </c>
      <c r="K1042" s="1">
        <v>0</v>
      </c>
      <c r="L1042" s="1">
        <v>77.25</v>
      </c>
      <c r="M1042" s="1">
        <v>21.23</v>
      </c>
      <c r="N1042" s="1">
        <v>26</v>
      </c>
      <c r="O1042" s="1" t="s">
        <v>26</v>
      </c>
      <c r="P1042" s="1" t="s">
        <v>51</v>
      </c>
    </row>
    <row r="1043" spans="1:16" x14ac:dyDescent="0.3">
      <c r="A1043" s="1">
        <v>100835</v>
      </c>
      <c r="B1043" s="2">
        <v>45773</v>
      </c>
      <c r="C1043" s="1" t="s">
        <v>1081</v>
      </c>
      <c r="D1043" s="1" t="s">
        <v>22</v>
      </c>
      <c r="E1043" s="1" t="s">
        <v>17</v>
      </c>
      <c r="F1043" s="1" t="s">
        <v>1237</v>
      </c>
      <c r="G1043" s="1" t="s">
        <v>18</v>
      </c>
      <c r="H1043" s="1">
        <v>1</v>
      </c>
      <c r="I1043" s="1">
        <f>Table1[[#This Row],[Units_Sold]]*Table1[[#This Row],[Unit_Price]]</f>
        <v>26.32</v>
      </c>
      <c r="J1043" s="1">
        <v>26.32</v>
      </c>
      <c r="K1043" s="1">
        <v>0</v>
      </c>
      <c r="L1043" s="1">
        <v>26.32</v>
      </c>
      <c r="M1043" s="1">
        <v>8.5500000000000007</v>
      </c>
      <c r="N1043" s="1">
        <v>41</v>
      </c>
      <c r="O1043" s="1" t="s">
        <v>26</v>
      </c>
      <c r="P1043" s="1" t="s">
        <v>51</v>
      </c>
    </row>
    <row r="1044" spans="1:16" x14ac:dyDescent="0.3">
      <c r="A1044" s="1">
        <v>100246</v>
      </c>
      <c r="B1044" s="2">
        <v>45871</v>
      </c>
      <c r="C1044" s="1" t="s">
        <v>1082</v>
      </c>
      <c r="D1044" s="1" t="s">
        <v>29</v>
      </c>
      <c r="E1044" s="1" t="s">
        <v>30</v>
      </c>
      <c r="F1044" s="1" t="s">
        <v>1241</v>
      </c>
      <c r="G1044" s="1" t="s">
        <v>31</v>
      </c>
      <c r="H1044" s="1">
        <v>2</v>
      </c>
      <c r="I1044" s="1">
        <f>Table1[[#This Row],[Units_Sold]]*Table1[[#This Row],[Unit_Price]]</f>
        <v>37.64</v>
      </c>
      <c r="J1044" s="1">
        <v>18.82</v>
      </c>
      <c r="K1044" s="1">
        <v>0</v>
      </c>
      <c r="L1044" s="1">
        <v>37.64</v>
      </c>
      <c r="M1044" s="1">
        <v>14</v>
      </c>
      <c r="N1044" s="1">
        <v>20</v>
      </c>
      <c r="O1044" s="1" t="s">
        <v>26</v>
      </c>
      <c r="P1044" s="1" t="s">
        <v>20</v>
      </c>
    </row>
    <row r="1045" spans="1:16" x14ac:dyDescent="0.3">
      <c r="A1045" s="1">
        <v>101139</v>
      </c>
      <c r="B1045" s="2">
        <v>45272</v>
      </c>
      <c r="C1045" s="1" t="s">
        <v>1083</v>
      </c>
      <c r="D1045" s="1" t="s">
        <v>39</v>
      </c>
      <c r="E1045" s="1" t="s">
        <v>25</v>
      </c>
      <c r="F1045" s="1" t="s">
        <v>1241</v>
      </c>
      <c r="G1045" s="1" t="s">
        <v>48</v>
      </c>
      <c r="H1045" s="1">
        <v>4</v>
      </c>
      <c r="I1045" s="1">
        <f>Table1[[#This Row],[Units_Sold]]*Table1[[#This Row],[Unit_Price]]</f>
        <v>692.56</v>
      </c>
      <c r="J1045" s="1">
        <v>173.14</v>
      </c>
      <c r="K1045" s="1">
        <v>10</v>
      </c>
      <c r="L1045" s="1">
        <v>623.29999999999995</v>
      </c>
      <c r="M1045" s="1">
        <v>146.57</v>
      </c>
      <c r="N1045" s="1">
        <v>24</v>
      </c>
      <c r="O1045" s="1" t="s">
        <v>19</v>
      </c>
      <c r="P1045" s="1" t="s">
        <v>20</v>
      </c>
    </row>
    <row r="1046" spans="1:16" x14ac:dyDescent="0.3">
      <c r="A1046" s="1">
        <v>100384</v>
      </c>
      <c r="B1046" s="2">
        <v>45207</v>
      </c>
      <c r="C1046" s="1" t="s">
        <v>1084</v>
      </c>
      <c r="D1046" s="1" t="s">
        <v>59</v>
      </c>
      <c r="E1046" s="1" t="s">
        <v>17</v>
      </c>
      <c r="F1046" s="1" t="s">
        <v>1238</v>
      </c>
      <c r="G1046" s="1" t="s">
        <v>31</v>
      </c>
      <c r="H1046" s="1">
        <v>1</v>
      </c>
      <c r="I1046" s="1">
        <f>Table1[[#This Row],[Units_Sold]]*Table1[[#This Row],[Unit_Price]]</f>
        <v>28.03</v>
      </c>
      <c r="J1046" s="1">
        <v>28.03</v>
      </c>
      <c r="K1046" s="1">
        <v>0</v>
      </c>
      <c r="L1046" s="1">
        <v>28.03</v>
      </c>
      <c r="M1046" s="1">
        <v>9.73</v>
      </c>
      <c r="N1046" s="1">
        <v>24</v>
      </c>
      <c r="O1046" s="1" t="s">
        <v>26</v>
      </c>
      <c r="P1046" s="1" t="s">
        <v>81</v>
      </c>
    </row>
    <row r="1047" spans="1:16" x14ac:dyDescent="0.3">
      <c r="A1047" s="1">
        <v>100854</v>
      </c>
      <c r="B1047" s="2">
        <v>45905</v>
      </c>
      <c r="C1047" s="1" t="s">
        <v>1085</v>
      </c>
      <c r="D1047" s="1" t="s">
        <v>100</v>
      </c>
      <c r="E1047" s="1" t="s">
        <v>25</v>
      </c>
      <c r="F1047" s="1" t="s">
        <v>1237</v>
      </c>
      <c r="G1047" s="1" t="s">
        <v>64</v>
      </c>
      <c r="H1047" s="1">
        <v>3</v>
      </c>
      <c r="I1047" s="1">
        <f>Table1[[#This Row],[Units_Sold]]*Table1[[#This Row],[Unit_Price]]</f>
        <v>398.66999999999996</v>
      </c>
      <c r="J1047" s="1">
        <v>132.88999999999999</v>
      </c>
      <c r="K1047" s="1">
        <v>0</v>
      </c>
      <c r="L1047" s="1">
        <v>398.67</v>
      </c>
      <c r="M1047" s="1">
        <v>113.52</v>
      </c>
      <c r="N1047" s="1">
        <v>22</v>
      </c>
      <c r="O1047" s="1" t="s">
        <v>26</v>
      </c>
      <c r="P1047" s="1" t="s">
        <v>46</v>
      </c>
    </row>
    <row r="1048" spans="1:16" x14ac:dyDescent="0.3">
      <c r="A1048" s="1">
        <v>100219</v>
      </c>
      <c r="B1048" s="2">
        <v>45415</v>
      </c>
      <c r="C1048" s="1" t="s">
        <v>1086</v>
      </c>
      <c r="D1048" s="1" t="s">
        <v>73</v>
      </c>
      <c r="E1048" s="1" t="s">
        <v>25</v>
      </c>
      <c r="F1048" s="1" t="s">
        <v>1241</v>
      </c>
      <c r="G1048" s="1" t="s">
        <v>18</v>
      </c>
      <c r="H1048" s="1">
        <v>3</v>
      </c>
      <c r="I1048" s="1">
        <f>Table1[[#This Row],[Units_Sold]]*Table1[[#This Row],[Unit_Price]]</f>
        <v>113.49</v>
      </c>
      <c r="J1048" s="1">
        <v>37.83</v>
      </c>
      <c r="K1048" s="1">
        <v>0</v>
      </c>
      <c r="L1048" s="1">
        <v>113.49</v>
      </c>
      <c r="M1048" s="1">
        <v>34.380000000000003</v>
      </c>
      <c r="N1048" s="1">
        <v>39</v>
      </c>
      <c r="O1048" s="1" t="s">
        <v>26</v>
      </c>
      <c r="P1048" s="1" t="s">
        <v>27</v>
      </c>
    </row>
    <row r="1049" spans="1:16" x14ac:dyDescent="0.3">
      <c r="A1049" s="1">
        <v>100641</v>
      </c>
      <c r="B1049" s="2">
        <v>45462</v>
      </c>
      <c r="C1049" s="1" t="s">
        <v>1087</v>
      </c>
      <c r="D1049" s="1" t="s">
        <v>100</v>
      </c>
      <c r="E1049" s="1" t="s">
        <v>25</v>
      </c>
      <c r="F1049" s="1" t="s">
        <v>1238</v>
      </c>
      <c r="G1049" s="1" t="s">
        <v>31</v>
      </c>
      <c r="H1049" s="1">
        <v>5</v>
      </c>
      <c r="I1049" s="1">
        <f>Table1[[#This Row],[Units_Sold]]*Table1[[#This Row],[Unit_Price]]</f>
        <v>646</v>
      </c>
      <c r="J1049" s="1">
        <v>129.19999999999999</v>
      </c>
      <c r="K1049" s="1">
        <v>10</v>
      </c>
      <c r="L1049" s="1">
        <v>581.4</v>
      </c>
      <c r="M1049" s="1">
        <v>211.31</v>
      </c>
      <c r="N1049" s="1">
        <v>31</v>
      </c>
      <c r="O1049" s="1" t="s">
        <v>19</v>
      </c>
      <c r="P1049" s="1" t="s">
        <v>27</v>
      </c>
    </row>
    <row r="1050" spans="1:16" x14ac:dyDescent="0.3">
      <c r="A1050" s="1">
        <v>100001</v>
      </c>
      <c r="B1050" s="2">
        <v>44957</v>
      </c>
      <c r="C1050" s="1" t="s">
        <v>1088</v>
      </c>
      <c r="D1050" s="1" t="s">
        <v>24</v>
      </c>
      <c r="E1050" s="1" t="s">
        <v>25</v>
      </c>
      <c r="F1050" s="1" t="s">
        <v>1238</v>
      </c>
      <c r="G1050" s="1" t="s">
        <v>18</v>
      </c>
      <c r="H1050" s="1">
        <v>2</v>
      </c>
      <c r="I1050" s="1">
        <f>Table1[[#This Row],[Units_Sold]]*Table1[[#This Row],[Unit_Price]]</f>
        <v>205.36</v>
      </c>
      <c r="J1050" s="1">
        <v>102.68</v>
      </c>
      <c r="K1050" s="1">
        <v>20</v>
      </c>
      <c r="L1050" s="1">
        <v>164.29</v>
      </c>
      <c r="M1050" s="1">
        <v>44.52</v>
      </c>
      <c r="N1050" s="1">
        <v>25</v>
      </c>
      <c r="O1050" s="1" t="s">
        <v>26</v>
      </c>
      <c r="P1050" s="1" t="s">
        <v>32</v>
      </c>
    </row>
    <row r="1051" spans="1:16" x14ac:dyDescent="0.3">
      <c r="A1051" s="1">
        <v>100112</v>
      </c>
      <c r="B1051" s="2">
        <v>45862</v>
      </c>
      <c r="C1051" s="1" t="s">
        <v>1089</v>
      </c>
      <c r="D1051" s="1" t="s">
        <v>53</v>
      </c>
      <c r="E1051" s="1" t="s">
        <v>30</v>
      </c>
      <c r="F1051" s="1" t="s">
        <v>1241</v>
      </c>
      <c r="G1051" s="1" t="s">
        <v>48</v>
      </c>
      <c r="H1051" s="1">
        <v>4</v>
      </c>
      <c r="I1051" s="1">
        <f>Table1[[#This Row],[Units_Sold]]*Table1[[#This Row],[Unit_Price]]</f>
        <v>81.760000000000005</v>
      </c>
      <c r="J1051" s="1">
        <v>20.440000000000001</v>
      </c>
      <c r="K1051" s="1">
        <v>0</v>
      </c>
      <c r="L1051" s="1">
        <v>81.760000000000005</v>
      </c>
      <c r="M1051" s="1">
        <v>28.62</v>
      </c>
      <c r="N1051" s="1">
        <v>34</v>
      </c>
      <c r="O1051" s="1" t="s">
        <v>19</v>
      </c>
      <c r="P1051" s="1" t="s">
        <v>46</v>
      </c>
    </row>
    <row r="1052" spans="1:16" x14ac:dyDescent="0.3">
      <c r="A1052" s="1">
        <v>100698</v>
      </c>
      <c r="B1052" s="2">
        <v>45288</v>
      </c>
      <c r="C1052" s="1" t="s">
        <v>1090</v>
      </c>
      <c r="D1052" s="1" t="s">
        <v>22</v>
      </c>
      <c r="E1052" s="1" t="s">
        <v>17</v>
      </c>
      <c r="F1052" s="1" t="s">
        <v>1238</v>
      </c>
      <c r="G1052" s="1" t="s">
        <v>18</v>
      </c>
      <c r="H1052" s="1">
        <v>2</v>
      </c>
      <c r="I1052" s="1">
        <f>Table1[[#This Row],[Units_Sold]]*Table1[[#This Row],[Unit_Price]]</f>
        <v>51.28</v>
      </c>
      <c r="J1052" s="1">
        <v>25.64</v>
      </c>
      <c r="K1052" s="1">
        <v>0</v>
      </c>
      <c r="L1052" s="1">
        <v>51.28</v>
      </c>
      <c r="M1052" s="1">
        <v>14.88</v>
      </c>
      <c r="N1052" s="1">
        <v>16</v>
      </c>
      <c r="O1052" s="1" t="s">
        <v>26</v>
      </c>
      <c r="P1052" s="1" t="s">
        <v>46</v>
      </c>
    </row>
    <row r="1053" spans="1:16" x14ac:dyDescent="0.3">
      <c r="A1053" s="1">
        <v>100951</v>
      </c>
      <c r="B1053" s="2">
        <v>45098</v>
      </c>
      <c r="C1053" s="1" t="s">
        <v>1091</v>
      </c>
      <c r="D1053" s="1" t="s">
        <v>53</v>
      </c>
      <c r="E1053" s="1" t="s">
        <v>30</v>
      </c>
      <c r="F1053" s="1" t="s">
        <v>1238</v>
      </c>
      <c r="G1053" s="1" t="s">
        <v>31</v>
      </c>
      <c r="H1053" s="1">
        <v>1</v>
      </c>
      <c r="I1053" s="1">
        <f>Table1[[#This Row],[Units_Sold]]*Table1[[#This Row],[Unit_Price]]</f>
        <v>22.24</v>
      </c>
      <c r="J1053" s="1">
        <v>22.24</v>
      </c>
      <c r="K1053" s="1">
        <v>5</v>
      </c>
      <c r="L1053" s="1">
        <v>21.13</v>
      </c>
      <c r="M1053" s="1">
        <v>4.41</v>
      </c>
      <c r="N1053" s="1">
        <v>31</v>
      </c>
      <c r="O1053" s="1" t="s">
        <v>19</v>
      </c>
      <c r="P1053" s="1" t="s">
        <v>46</v>
      </c>
    </row>
    <row r="1054" spans="1:16" x14ac:dyDescent="0.3">
      <c r="A1054" s="1">
        <v>101078</v>
      </c>
      <c r="B1054" s="2">
        <v>45880</v>
      </c>
      <c r="C1054" s="1" t="s">
        <v>1092</v>
      </c>
      <c r="D1054" s="1" t="s">
        <v>42</v>
      </c>
      <c r="E1054" s="1" t="s">
        <v>25</v>
      </c>
      <c r="F1054" s="1" t="s">
        <v>1241</v>
      </c>
      <c r="G1054" s="1" t="s">
        <v>18</v>
      </c>
      <c r="H1054" s="1">
        <v>2</v>
      </c>
      <c r="I1054" s="1">
        <f>Table1[[#This Row],[Units_Sold]]*Table1[[#This Row],[Unit_Price]]</f>
        <v>261.89999999999998</v>
      </c>
      <c r="J1054" s="1">
        <v>130.94999999999999</v>
      </c>
      <c r="K1054" s="1">
        <v>40</v>
      </c>
      <c r="L1054" s="1">
        <v>157.13999999999999</v>
      </c>
      <c r="M1054" s="1">
        <v>45.5</v>
      </c>
      <c r="N1054" s="1">
        <v>16</v>
      </c>
      <c r="O1054" s="1" t="s">
        <v>19</v>
      </c>
      <c r="P1054" s="1" t="s">
        <v>51</v>
      </c>
    </row>
    <row r="1055" spans="1:16" x14ac:dyDescent="0.3">
      <c r="A1055" s="1">
        <v>100441</v>
      </c>
      <c r="B1055" s="2">
        <v>45688</v>
      </c>
      <c r="C1055" s="1" t="s">
        <v>1093</v>
      </c>
      <c r="D1055" s="1" t="s">
        <v>22</v>
      </c>
      <c r="E1055" s="1" t="s">
        <v>17</v>
      </c>
      <c r="F1055" s="1" t="s">
        <v>1239</v>
      </c>
      <c r="G1055" s="1" t="s">
        <v>48</v>
      </c>
      <c r="H1055" s="1">
        <v>4</v>
      </c>
      <c r="I1055" s="1">
        <f>Table1[[#This Row],[Units_Sold]]*Table1[[#This Row],[Unit_Price]]</f>
        <v>91.92</v>
      </c>
      <c r="J1055" s="1">
        <v>22.98</v>
      </c>
      <c r="K1055" s="1">
        <v>20</v>
      </c>
      <c r="L1055" s="1">
        <v>73.540000000000006</v>
      </c>
      <c r="M1055" s="1">
        <v>25.5</v>
      </c>
      <c r="N1055" s="1">
        <v>45</v>
      </c>
      <c r="O1055" s="1" t="s">
        <v>26</v>
      </c>
      <c r="P1055" s="1" t="s">
        <v>51</v>
      </c>
    </row>
    <row r="1056" spans="1:16" x14ac:dyDescent="0.3">
      <c r="A1056" s="1">
        <v>100663</v>
      </c>
      <c r="B1056" s="2">
        <v>45904</v>
      </c>
      <c r="C1056" s="1" t="s">
        <v>1094</v>
      </c>
      <c r="D1056" s="1" t="s">
        <v>53</v>
      </c>
      <c r="E1056" s="1" t="s">
        <v>30</v>
      </c>
      <c r="F1056" s="1" t="s">
        <v>1238</v>
      </c>
      <c r="G1056" s="1" t="s">
        <v>64</v>
      </c>
      <c r="H1056" s="1">
        <v>3</v>
      </c>
      <c r="I1056" s="1">
        <f>Table1[[#This Row],[Units_Sold]]*Table1[[#This Row],[Unit_Price]]</f>
        <v>57.72</v>
      </c>
      <c r="J1056" s="1">
        <v>19.239999999999998</v>
      </c>
      <c r="K1056" s="1">
        <v>10</v>
      </c>
      <c r="L1056" s="1">
        <v>51.95</v>
      </c>
      <c r="M1056" s="1">
        <v>17.14</v>
      </c>
      <c r="N1056" s="1">
        <v>28</v>
      </c>
      <c r="O1056" s="1" t="s">
        <v>26</v>
      </c>
      <c r="P1056" s="1" t="s">
        <v>20</v>
      </c>
    </row>
    <row r="1057" spans="1:16" x14ac:dyDescent="0.3">
      <c r="A1057" s="1">
        <v>101196</v>
      </c>
      <c r="B1057" s="2">
        <v>45642</v>
      </c>
      <c r="C1057" s="1" t="s">
        <v>1095</v>
      </c>
      <c r="D1057" s="1" t="s">
        <v>29</v>
      </c>
      <c r="E1057" s="1" t="s">
        <v>30</v>
      </c>
      <c r="F1057" s="1" t="s">
        <v>1240</v>
      </c>
      <c r="G1057" s="1" t="s">
        <v>31</v>
      </c>
      <c r="H1057" s="1">
        <v>3</v>
      </c>
      <c r="I1057" s="1">
        <f>Table1[[#This Row],[Units_Sold]]*Table1[[#This Row],[Unit_Price]]</f>
        <v>58.83</v>
      </c>
      <c r="J1057" s="1">
        <v>19.61</v>
      </c>
      <c r="K1057" s="1">
        <v>5</v>
      </c>
      <c r="L1057" s="1">
        <v>55.89</v>
      </c>
      <c r="M1057" s="1">
        <v>23.43</v>
      </c>
      <c r="N1057" s="1">
        <v>46</v>
      </c>
      <c r="O1057" s="1" t="s">
        <v>26</v>
      </c>
      <c r="P1057" s="1" t="s">
        <v>20</v>
      </c>
    </row>
    <row r="1058" spans="1:16" x14ac:dyDescent="0.3">
      <c r="A1058" s="1">
        <v>100317</v>
      </c>
      <c r="B1058" s="2">
        <v>45042</v>
      </c>
      <c r="C1058" s="1" t="s">
        <v>1096</v>
      </c>
      <c r="D1058" s="1" t="s">
        <v>37</v>
      </c>
      <c r="E1058" s="1" t="s">
        <v>17</v>
      </c>
      <c r="F1058" s="1" t="s">
        <v>1237</v>
      </c>
      <c r="G1058" s="1" t="s">
        <v>31</v>
      </c>
      <c r="H1058" s="1">
        <v>1</v>
      </c>
      <c r="I1058" s="1">
        <f>Table1[[#This Row],[Units_Sold]]*Table1[[#This Row],[Unit_Price]]</f>
        <v>73.06</v>
      </c>
      <c r="J1058" s="1">
        <v>73.06</v>
      </c>
      <c r="K1058" s="1">
        <v>5</v>
      </c>
      <c r="L1058" s="1">
        <v>69.41</v>
      </c>
      <c r="M1058" s="1">
        <v>17.079999999999998</v>
      </c>
      <c r="N1058" s="1">
        <v>26</v>
      </c>
      <c r="O1058" s="1" t="s">
        <v>19</v>
      </c>
      <c r="P1058" s="1" t="s">
        <v>43</v>
      </c>
    </row>
    <row r="1059" spans="1:16" x14ac:dyDescent="0.3">
      <c r="A1059" s="1">
        <v>100648</v>
      </c>
      <c r="B1059" s="2">
        <v>45784</v>
      </c>
      <c r="C1059" s="1" t="s">
        <v>1097</v>
      </c>
      <c r="D1059" s="1" t="s">
        <v>53</v>
      </c>
      <c r="E1059" s="1" t="s">
        <v>30</v>
      </c>
      <c r="F1059" s="1" t="s">
        <v>1238</v>
      </c>
      <c r="G1059" s="1" t="s">
        <v>18</v>
      </c>
      <c r="H1059" s="1">
        <v>2</v>
      </c>
      <c r="I1059" s="1">
        <f>Table1[[#This Row],[Units_Sold]]*Table1[[#This Row],[Unit_Price]]</f>
        <v>44.56</v>
      </c>
      <c r="J1059" s="1">
        <v>22.28</v>
      </c>
      <c r="K1059" s="1">
        <v>0</v>
      </c>
      <c r="L1059" s="1">
        <v>44.56</v>
      </c>
      <c r="M1059" s="1">
        <v>17.899999999999999</v>
      </c>
      <c r="N1059" s="1">
        <v>31</v>
      </c>
      <c r="O1059" s="1" t="s">
        <v>19</v>
      </c>
      <c r="P1059" s="1" t="s">
        <v>35</v>
      </c>
    </row>
    <row r="1060" spans="1:16" x14ac:dyDescent="0.3">
      <c r="A1060" s="1">
        <v>100709</v>
      </c>
      <c r="B1060" s="2">
        <v>44931</v>
      </c>
      <c r="C1060" s="1" t="s">
        <v>1098</v>
      </c>
      <c r="D1060" s="1" t="s">
        <v>45</v>
      </c>
      <c r="E1060" s="1" t="s">
        <v>30</v>
      </c>
      <c r="F1060" s="1" t="s">
        <v>1238</v>
      </c>
      <c r="G1060" s="1" t="s">
        <v>31</v>
      </c>
      <c r="H1060" s="1">
        <v>5</v>
      </c>
      <c r="I1060" s="1">
        <f>Table1[[#This Row],[Units_Sold]]*Table1[[#This Row],[Unit_Price]]</f>
        <v>75.400000000000006</v>
      </c>
      <c r="J1060" s="1">
        <v>15.08</v>
      </c>
      <c r="K1060" s="1">
        <v>0</v>
      </c>
      <c r="L1060" s="1">
        <v>75.400000000000006</v>
      </c>
      <c r="M1060" s="1">
        <v>19.64</v>
      </c>
      <c r="N1060" s="1">
        <v>21</v>
      </c>
      <c r="O1060" s="1" t="s">
        <v>26</v>
      </c>
      <c r="P1060" s="1" t="s">
        <v>20</v>
      </c>
    </row>
    <row r="1061" spans="1:16" x14ac:dyDescent="0.3">
      <c r="A1061" s="1">
        <v>100972</v>
      </c>
      <c r="B1061" s="2">
        <v>45560</v>
      </c>
      <c r="C1061" s="1" t="s">
        <v>1099</v>
      </c>
      <c r="D1061" s="1" t="s">
        <v>53</v>
      </c>
      <c r="E1061" s="1" t="s">
        <v>30</v>
      </c>
      <c r="F1061" s="1" t="s">
        <v>1237</v>
      </c>
      <c r="G1061" s="1" t="s">
        <v>18</v>
      </c>
      <c r="H1061" s="1">
        <v>3</v>
      </c>
      <c r="I1061" s="1">
        <f>Table1[[#This Row],[Units_Sold]]*Table1[[#This Row],[Unit_Price]]</f>
        <v>67.349999999999994</v>
      </c>
      <c r="J1061" s="1">
        <v>22.45</v>
      </c>
      <c r="K1061" s="1">
        <v>0</v>
      </c>
      <c r="L1061" s="1">
        <v>67.349999999999994</v>
      </c>
      <c r="M1061" s="1">
        <v>19.29</v>
      </c>
      <c r="N1061" s="1">
        <v>34</v>
      </c>
      <c r="O1061" s="1" t="s">
        <v>19</v>
      </c>
      <c r="P1061" s="1" t="s">
        <v>43</v>
      </c>
    </row>
    <row r="1062" spans="1:16" x14ac:dyDescent="0.3">
      <c r="A1062" s="1">
        <v>100627</v>
      </c>
      <c r="B1062" s="2">
        <v>45140</v>
      </c>
      <c r="C1062" s="1" t="s">
        <v>1100</v>
      </c>
      <c r="D1062" s="1" t="s">
        <v>77</v>
      </c>
      <c r="E1062" s="1" t="s">
        <v>30</v>
      </c>
      <c r="F1062" s="1" t="s">
        <v>1240</v>
      </c>
      <c r="G1062" s="1" t="s">
        <v>31</v>
      </c>
      <c r="H1062" s="1">
        <v>2</v>
      </c>
      <c r="I1062" s="1">
        <f>Table1[[#This Row],[Units_Sold]]*Table1[[#This Row],[Unit_Price]]</f>
        <v>80.5</v>
      </c>
      <c r="J1062" s="1">
        <v>40.25</v>
      </c>
      <c r="K1062" s="1">
        <v>5</v>
      </c>
      <c r="L1062" s="1">
        <v>76.47</v>
      </c>
      <c r="M1062" s="1">
        <v>25.66</v>
      </c>
      <c r="N1062" s="1">
        <v>16</v>
      </c>
      <c r="O1062" s="1" t="s">
        <v>26</v>
      </c>
      <c r="P1062" s="1" t="s">
        <v>51</v>
      </c>
    </row>
    <row r="1063" spans="1:16" x14ac:dyDescent="0.3">
      <c r="A1063" s="1">
        <v>100632</v>
      </c>
      <c r="B1063" s="2">
        <v>45867</v>
      </c>
      <c r="C1063" s="1" t="s">
        <v>1101</v>
      </c>
      <c r="D1063" s="1" t="s">
        <v>34</v>
      </c>
      <c r="E1063" s="1" t="s">
        <v>30</v>
      </c>
      <c r="F1063" s="1" t="s">
        <v>1239</v>
      </c>
      <c r="G1063" s="1" t="s">
        <v>64</v>
      </c>
      <c r="H1063" s="1">
        <v>4</v>
      </c>
      <c r="I1063" s="1">
        <f>Table1[[#This Row],[Units_Sold]]*Table1[[#This Row],[Unit_Price]]</f>
        <v>244.08</v>
      </c>
      <c r="J1063" s="1">
        <v>61.02</v>
      </c>
      <c r="K1063" s="1">
        <v>0</v>
      </c>
      <c r="L1063" s="1">
        <v>244.08</v>
      </c>
      <c r="M1063" s="1">
        <v>98.09</v>
      </c>
      <c r="N1063" s="1">
        <v>36</v>
      </c>
      <c r="O1063" s="1" t="s">
        <v>19</v>
      </c>
      <c r="P1063" s="1" t="s">
        <v>32</v>
      </c>
    </row>
    <row r="1064" spans="1:16" x14ac:dyDescent="0.3">
      <c r="A1064" s="1">
        <v>101171</v>
      </c>
      <c r="B1064" s="2">
        <v>45240</v>
      </c>
      <c r="C1064" s="1" t="s">
        <v>1102</v>
      </c>
      <c r="D1064" s="1" t="s">
        <v>39</v>
      </c>
      <c r="E1064" s="1" t="s">
        <v>25</v>
      </c>
      <c r="F1064" s="1" t="s">
        <v>1237</v>
      </c>
      <c r="G1064" s="1" t="s">
        <v>18</v>
      </c>
      <c r="H1064" s="1">
        <v>3</v>
      </c>
      <c r="I1064" s="1">
        <f>Table1[[#This Row],[Units_Sold]]*Table1[[#This Row],[Unit_Price]]</f>
        <v>520.71</v>
      </c>
      <c r="J1064" s="1">
        <v>173.57</v>
      </c>
      <c r="K1064" s="1">
        <v>5</v>
      </c>
      <c r="L1064" s="1">
        <v>494.67</v>
      </c>
      <c r="M1064" s="1">
        <v>161.69</v>
      </c>
      <c r="N1064" s="1">
        <v>35</v>
      </c>
      <c r="O1064" s="1" t="s">
        <v>26</v>
      </c>
      <c r="P1064" s="1" t="s">
        <v>43</v>
      </c>
    </row>
    <row r="1065" spans="1:16" x14ac:dyDescent="0.3">
      <c r="A1065" s="1">
        <v>101106</v>
      </c>
      <c r="B1065" s="2">
        <v>45542</v>
      </c>
      <c r="C1065" s="1" t="s">
        <v>1103</v>
      </c>
      <c r="D1065" s="1" t="s">
        <v>62</v>
      </c>
      <c r="E1065" s="1" t="s">
        <v>17</v>
      </c>
      <c r="F1065" s="1" t="s">
        <v>1241</v>
      </c>
      <c r="G1065" s="1" t="s">
        <v>18</v>
      </c>
      <c r="H1065" s="1">
        <v>2</v>
      </c>
      <c r="I1065" s="1">
        <f>Table1[[#This Row],[Units_Sold]]*Table1[[#This Row],[Unit_Price]]</f>
        <v>278.42</v>
      </c>
      <c r="J1065" s="1">
        <v>139.21</v>
      </c>
      <c r="K1065" s="1">
        <v>20</v>
      </c>
      <c r="L1065" s="1">
        <v>222.74</v>
      </c>
      <c r="M1065" s="1">
        <v>28.66</v>
      </c>
      <c r="N1065" s="1">
        <v>28</v>
      </c>
      <c r="O1065" s="1" t="s">
        <v>19</v>
      </c>
      <c r="P1065" s="1" t="s">
        <v>81</v>
      </c>
    </row>
    <row r="1066" spans="1:16" x14ac:dyDescent="0.3">
      <c r="A1066" s="1">
        <v>100795</v>
      </c>
      <c r="B1066" s="2">
        <v>45135</v>
      </c>
      <c r="C1066" s="1" t="s">
        <v>1104</v>
      </c>
      <c r="D1066" s="1" t="s">
        <v>16</v>
      </c>
      <c r="E1066" s="1" t="s">
        <v>17</v>
      </c>
      <c r="F1066" s="1" t="s">
        <v>1241</v>
      </c>
      <c r="G1066" s="1" t="s">
        <v>31</v>
      </c>
      <c r="H1066" s="1">
        <v>2</v>
      </c>
      <c r="I1066" s="1">
        <f>Table1[[#This Row],[Units_Sold]]*Table1[[#This Row],[Unit_Price]]</f>
        <v>96.42</v>
      </c>
      <c r="J1066" s="1">
        <v>48.21</v>
      </c>
      <c r="K1066" s="1">
        <v>20</v>
      </c>
      <c r="L1066" s="1">
        <v>77.14</v>
      </c>
      <c r="M1066" s="1">
        <v>22.36</v>
      </c>
      <c r="N1066" s="1">
        <v>47</v>
      </c>
      <c r="O1066" s="1" t="s">
        <v>26</v>
      </c>
      <c r="P1066" s="1" t="s">
        <v>51</v>
      </c>
    </row>
    <row r="1067" spans="1:16" x14ac:dyDescent="0.3">
      <c r="A1067" s="1">
        <v>100645</v>
      </c>
      <c r="B1067" s="2">
        <v>45011</v>
      </c>
      <c r="C1067" s="1" t="s">
        <v>1105</v>
      </c>
      <c r="D1067" s="1" t="s">
        <v>68</v>
      </c>
      <c r="E1067" s="1" t="s">
        <v>25</v>
      </c>
      <c r="F1067" s="1" t="s">
        <v>1239</v>
      </c>
      <c r="G1067" s="1" t="s">
        <v>18</v>
      </c>
      <c r="H1067" s="1">
        <v>2</v>
      </c>
      <c r="I1067" s="1">
        <f>Table1[[#This Row],[Units_Sold]]*Table1[[#This Row],[Unit_Price]]</f>
        <v>432.6</v>
      </c>
      <c r="J1067" s="1">
        <v>216.3</v>
      </c>
      <c r="K1067" s="1">
        <v>0</v>
      </c>
      <c r="L1067" s="1">
        <v>432.6</v>
      </c>
      <c r="M1067" s="1">
        <v>118.14</v>
      </c>
      <c r="N1067" s="1">
        <v>28</v>
      </c>
      <c r="O1067" s="1" t="s">
        <v>26</v>
      </c>
      <c r="P1067" s="1" t="s">
        <v>20</v>
      </c>
    </row>
    <row r="1068" spans="1:16" x14ac:dyDescent="0.3">
      <c r="A1068" s="1">
        <v>101012</v>
      </c>
      <c r="B1068" s="2">
        <v>45101</v>
      </c>
      <c r="C1068" s="1" t="s">
        <v>1106</v>
      </c>
      <c r="D1068" s="1" t="s">
        <v>66</v>
      </c>
      <c r="E1068" s="1" t="s">
        <v>17</v>
      </c>
      <c r="F1068" s="1" t="s">
        <v>1238</v>
      </c>
      <c r="G1068" s="1" t="s">
        <v>18</v>
      </c>
      <c r="H1068" s="1">
        <v>1</v>
      </c>
      <c r="I1068" s="1">
        <f>Table1[[#This Row],[Units_Sold]]*Table1[[#This Row],[Unit_Price]]</f>
        <v>120.04</v>
      </c>
      <c r="J1068" s="1">
        <v>120.04</v>
      </c>
      <c r="K1068" s="1">
        <v>0</v>
      </c>
      <c r="L1068" s="1">
        <v>120.04</v>
      </c>
      <c r="M1068" s="1">
        <v>37.880000000000003</v>
      </c>
      <c r="N1068" s="1">
        <v>17</v>
      </c>
      <c r="O1068" s="1" t="s">
        <v>19</v>
      </c>
      <c r="P1068" s="1" t="s">
        <v>32</v>
      </c>
    </row>
    <row r="1069" spans="1:16" x14ac:dyDescent="0.3">
      <c r="A1069" s="1">
        <v>100556</v>
      </c>
      <c r="B1069" s="2">
        <v>45291</v>
      </c>
      <c r="C1069" s="1" t="s">
        <v>1107</v>
      </c>
      <c r="D1069" s="1" t="s">
        <v>68</v>
      </c>
      <c r="E1069" s="1" t="s">
        <v>25</v>
      </c>
      <c r="F1069" s="1" t="s">
        <v>1238</v>
      </c>
      <c r="G1069" s="1" t="s">
        <v>31</v>
      </c>
      <c r="H1069" s="1">
        <v>7</v>
      </c>
      <c r="I1069" s="1">
        <f>Table1[[#This Row],[Units_Sold]]*Table1[[#This Row],[Unit_Price]]</f>
        <v>1695.68</v>
      </c>
      <c r="J1069" s="1">
        <v>242.24</v>
      </c>
      <c r="K1069" s="1">
        <v>10</v>
      </c>
      <c r="L1069" s="1">
        <v>1526.11</v>
      </c>
      <c r="M1069" s="1">
        <v>393.25</v>
      </c>
      <c r="N1069" s="1">
        <v>33</v>
      </c>
      <c r="O1069" s="1" t="s">
        <v>26</v>
      </c>
      <c r="P1069" s="1" t="s">
        <v>20</v>
      </c>
    </row>
    <row r="1070" spans="1:16" x14ac:dyDescent="0.3">
      <c r="A1070" s="1">
        <v>100681</v>
      </c>
      <c r="B1070" s="2">
        <v>45685</v>
      </c>
      <c r="C1070" s="1" t="s">
        <v>1108</v>
      </c>
      <c r="D1070" s="1" t="s">
        <v>70</v>
      </c>
      <c r="E1070" s="1" t="s">
        <v>25</v>
      </c>
      <c r="F1070" s="1" t="s">
        <v>1241</v>
      </c>
      <c r="G1070" s="1" t="s">
        <v>31</v>
      </c>
      <c r="H1070" s="1">
        <v>4</v>
      </c>
      <c r="I1070" s="1">
        <f>Table1[[#This Row],[Units_Sold]]*Table1[[#This Row],[Unit_Price]]</f>
        <v>560.36</v>
      </c>
      <c r="J1070" s="1">
        <v>140.09</v>
      </c>
      <c r="K1070" s="1">
        <v>0</v>
      </c>
      <c r="L1070" s="1">
        <v>560.36</v>
      </c>
      <c r="M1070" s="1">
        <v>172.6</v>
      </c>
      <c r="N1070" s="1">
        <v>47</v>
      </c>
      <c r="O1070" s="1" t="s">
        <v>26</v>
      </c>
      <c r="P1070" s="1" t="s">
        <v>27</v>
      </c>
    </row>
    <row r="1071" spans="1:16" x14ac:dyDescent="0.3">
      <c r="A1071" s="1">
        <v>100577</v>
      </c>
      <c r="B1071" s="2">
        <v>45513</v>
      </c>
      <c r="C1071" s="1" t="s">
        <v>1109</v>
      </c>
      <c r="D1071" s="1" t="s">
        <v>68</v>
      </c>
      <c r="E1071" s="1" t="s">
        <v>25</v>
      </c>
      <c r="F1071" s="1" t="s">
        <v>1238</v>
      </c>
      <c r="G1071" s="1" t="s">
        <v>31</v>
      </c>
      <c r="H1071" s="1">
        <v>5</v>
      </c>
      <c r="I1071" s="1">
        <f>Table1[[#This Row],[Units_Sold]]*Table1[[#This Row],[Unit_Price]]</f>
        <v>1039.0999999999999</v>
      </c>
      <c r="J1071" s="1">
        <v>207.82</v>
      </c>
      <c r="K1071" s="1">
        <v>5</v>
      </c>
      <c r="L1071" s="1">
        <v>987.14</v>
      </c>
      <c r="M1071" s="1">
        <v>261.25</v>
      </c>
      <c r="N1071" s="1">
        <v>36</v>
      </c>
      <c r="O1071" s="1" t="s">
        <v>26</v>
      </c>
      <c r="P1071" s="1" t="s">
        <v>35</v>
      </c>
    </row>
    <row r="1072" spans="1:16" x14ac:dyDescent="0.3">
      <c r="A1072" s="1">
        <v>100524</v>
      </c>
      <c r="B1072" s="2">
        <v>45349</v>
      </c>
      <c r="C1072" s="1" t="s">
        <v>1110</v>
      </c>
      <c r="D1072" s="1" t="s">
        <v>22</v>
      </c>
      <c r="E1072" s="1" t="s">
        <v>17</v>
      </c>
      <c r="F1072" s="1" t="s">
        <v>1241</v>
      </c>
      <c r="G1072" s="1" t="s">
        <v>31</v>
      </c>
      <c r="H1072" s="1">
        <v>2</v>
      </c>
      <c r="I1072" s="1">
        <f>Table1[[#This Row],[Units_Sold]]*Table1[[#This Row],[Unit_Price]]</f>
        <v>51.4</v>
      </c>
      <c r="J1072" s="1">
        <v>25.7</v>
      </c>
      <c r="K1072" s="1">
        <v>20</v>
      </c>
      <c r="L1072" s="1">
        <v>41.12</v>
      </c>
      <c r="M1072" s="1">
        <v>9.0399999999999991</v>
      </c>
      <c r="N1072" s="1">
        <v>29</v>
      </c>
      <c r="O1072" s="1" t="s">
        <v>19</v>
      </c>
      <c r="P1072" s="1" t="s">
        <v>35</v>
      </c>
    </row>
    <row r="1073" spans="1:16" x14ac:dyDescent="0.3">
      <c r="A1073" s="1">
        <v>101059</v>
      </c>
      <c r="B1073" s="2">
        <v>45417</v>
      </c>
      <c r="C1073" s="1" t="s">
        <v>1111</v>
      </c>
      <c r="D1073" s="1" t="s">
        <v>68</v>
      </c>
      <c r="E1073" s="1" t="s">
        <v>25</v>
      </c>
      <c r="F1073" s="1" t="s">
        <v>1238</v>
      </c>
      <c r="G1073" s="1" t="s">
        <v>18</v>
      </c>
      <c r="H1073" s="1">
        <v>4</v>
      </c>
      <c r="I1073" s="1">
        <f>Table1[[#This Row],[Units_Sold]]*Table1[[#This Row],[Unit_Price]]</f>
        <v>815.08</v>
      </c>
      <c r="J1073" s="1">
        <v>203.77</v>
      </c>
      <c r="K1073" s="1">
        <v>20</v>
      </c>
      <c r="L1073" s="1">
        <v>652.05999999999995</v>
      </c>
      <c r="M1073" s="1">
        <v>179.72</v>
      </c>
      <c r="N1073" s="1">
        <v>18</v>
      </c>
      <c r="O1073" s="1" t="s">
        <v>26</v>
      </c>
      <c r="P1073" s="1" t="s">
        <v>81</v>
      </c>
    </row>
    <row r="1074" spans="1:16" x14ac:dyDescent="0.3">
      <c r="A1074" s="1">
        <v>100540</v>
      </c>
      <c r="B1074" s="2">
        <v>45293</v>
      </c>
      <c r="C1074" s="1" t="s">
        <v>1112</v>
      </c>
      <c r="D1074" s="1" t="s">
        <v>68</v>
      </c>
      <c r="E1074" s="1" t="s">
        <v>25</v>
      </c>
      <c r="F1074" s="1" t="s">
        <v>1241</v>
      </c>
      <c r="G1074" s="1" t="s">
        <v>31</v>
      </c>
      <c r="H1074" s="1">
        <v>3</v>
      </c>
      <c r="I1074" s="1">
        <f>Table1[[#This Row],[Units_Sold]]*Table1[[#This Row],[Unit_Price]]</f>
        <v>700.56000000000006</v>
      </c>
      <c r="J1074" s="1">
        <v>233.52</v>
      </c>
      <c r="K1074" s="1">
        <v>40</v>
      </c>
      <c r="L1074" s="1">
        <v>420.34</v>
      </c>
      <c r="M1074" s="1">
        <v>130.63</v>
      </c>
      <c r="N1074" s="1">
        <v>30</v>
      </c>
      <c r="O1074" s="1" t="s">
        <v>19</v>
      </c>
      <c r="P1074" s="1" t="s">
        <v>46</v>
      </c>
    </row>
    <row r="1075" spans="1:16" x14ac:dyDescent="0.3">
      <c r="A1075" s="1">
        <v>100748</v>
      </c>
      <c r="B1075" s="2">
        <v>45832</v>
      </c>
      <c r="C1075" s="1" t="s">
        <v>1113</v>
      </c>
      <c r="D1075" s="1" t="s">
        <v>42</v>
      </c>
      <c r="E1075" s="1" t="s">
        <v>25</v>
      </c>
      <c r="F1075" s="1" t="s">
        <v>1241</v>
      </c>
      <c r="G1075" s="1" t="s">
        <v>31</v>
      </c>
      <c r="H1075" s="1">
        <v>4</v>
      </c>
      <c r="I1075" s="1">
        <f>Table1[[#This Row],[Units_Sold]]*Table1[[#This Row],[Unit_Price]]</f>
        <v>595.79999999999995</v>
      </c>
      <c r="J1075" s="1">
        <v>148.94999999999999</v>
      </c>
      <c r="K1075" s="1">
        <v>5</v>
      </c>
      <c r="L1075" s="1">
        <v>566.01</v>
      </c>
      <c r="M1075" s="1">
        <v>168.92</v>
      </c>
      <c r="N1075" s="1">
        <v>16</v>
      </c>
      <c r="O1075" s="1" t="s">
        <v>26</v>
      </c>
      <c r="P1075" s="1" t="s">
        <v>27</v>
      </c>
    </row>
    <row r="1076" spans="1:16" x14ac:dyDescent="0.3">
      <c r="A1076" s="1">
        <v>101109</v>
      </c>
      <c r="B1076" s="2">
        <v>45309</v>
      </c>
      <c r="C1076" s="1" t="s">
        <v>1114</v>
      </c>
      <c r="D1076" s="1" t="s">
        <v>42</v>
      </c>
      <c r="E1076" s="1" t="s">
        <v>25</v>
      </c>
      <c r="F1076" s="1" t="s">
        <v>1241</v>
      </c>
      <c r="G1076" s="1" t="s">
        <v>18</v>
      </c>
      <c r="H1076" s="1">
        <v>3</v>
      </c>
      <c r="I1076" s="1">
        <f>Table1[[#This Row],[Units_Sold]]*Table1[[#This Row],[Unit_Price]]</f>
        <v>440.07</v>
      </c>
      <c r="J1076" s="1">
        <v>146.69</v>
      </c>
      <c r="K1076" s="1">
        <v>0</v>
      </c>
      <c r="L1076" s="1">
        <v>440.07</v>
      </c>
      <c r="M1076" s="1">
        <v>146.22999999999999</v>
      </c>
      <c r="N1076" s="1">
        <v>21</v>
      </c>
      <c r="O1076" s="1" t="s">
        <v>26</v>
      </c>
      <c r="P1076" s="1" t="s">
        <v>32</v>
      </c>
    </row>
    <row r="1077" spans="1:16" x14ac:dyDescent="0.3">
      <c r="A1077" s="1">
        <v>100484</v>
      </c>
      <c r="B1077" s="2">
        <v>44932</v>
      </c>
      <c r="C1077" s="1" t="s">
        <v>1115</v>
      </c>
      <c r="D1077" s="1" t="s">
        <v>39</v>
      </c>
      <c r="E1077" s="1" t="s">
        <v>25</v>
      </c>
      <c r="F1077" s="1" t="s">
        <v>1241</v>
      </c>
      <c r="G1077" s="1" t="s">
        <v>18</v>
      </c>
      <c r="H1077" s="1">
        <v>3</v>
      </c>
      <c r="I1077" s="1">
        <f>Table1[[#This Row],[Units_Sold]]*Table1[[#This Row],[Unit_Price]]</f>
        <v>554.43000000000006</v>
      </c>
      <c r="J1077" s="1">
        <v>184.81</v>
      </c>
      <c r="K1077" s="1">
        <v>0</v>
      </c>
      <c r="L1077" s="1">
        <v>554.42999999999995</v>
      </c>
      <c r="M1077" s="1">
        <v>158.08000000000001</v>
      </c>
      <c r="N1077" s="1">
        <v>39</v>
      </c>
      <c r="O1077" s="1" t="s">
        <v>19</v>
      </c>
      <c r="P1077" s="1" t="s">
        <v>43</v>
      </c>
    </row>
    <row r="1078" spans="1:16" x14ac:dyDescent="0.3">
      <c r="A1078" s="1">
        <v>100095</v>
      </c>
      <c r="B1078" s="2">
        <v>45718</v>
      </c>
      <c r="C1078" s="1" t="s">
        <v>1116</v>
      </c>
      <c r="D1078" s="1" t="s">
        <v>34</v>
      </c>
      <c r="E1078" s="1" t="s">
        <v>30</v>
      </c>
      <c r="F1078" s="1" t="s">
        <v>1237</v>
      </c>
      <c r="G1078" s="1" t="s">
        <v>18</v>
      </c>
      <c r="H1078" s="1">
        <v>4</v>
      </c>
      <c r="I1078" s="1">
        <f>Table1[[#This Row],[Units_Sold]]*Table1[[#This Row],[Unit_Price]]</f>
        <v>257.48</v>
      </c>
      <c r="J1078" s="1">
        <v>64.37</v>
      </c>
      <c r="K1078" s="1">
        <v>5</v>
      </c>
      <c r="L1078" s="1">
        <v>244.61</v>
      </c>
      <c r="M1078" s="1">
        <v>121.38</v>
      </c>
      <c r="N1078" s="1">
        <v>38</v>
      </c>
      <c r="O1078" s="1" t="s">
        <v>26</v>
      </c>
      <c r="P1078" s="1" t="s">
        <v>20</v>
      </c>
    </row>
    <row r="1079" spans="1:16" x14ac:dyDescent="0.3">
      <c r="A1079" s="1">
        <v>101020</v>
      </c>
      <c r="B1079" s="2">
        <v>45617</v>
      </c>
      <c r="C1079" s="1" t="s">
        <v>1117</v>
      </c>
      <c r="D1079" s="1" t="s">
        <v>56</v>
      </c>
      <c r="E1079" s="1" t="s">
        <v>30</v>
      </c>
      <c r="F1079" s="1" t="s">
        <v>1241</v>
      </c>
      <c r="G1079" s="1" t="s">
        <v>18</v>
      </c>
      <c r="H1079" s="1">
        <v>1</v>
      </c>
      <c r="I1079" s="1">
        <f>Table1[[#This Row],[Units_Sold]]*Table1[[#This Row],[Unit_Price]]</f>
        <v>47.45</v>
      </c>
      <c r="J1079" s="1">
        <v>47.45</v>
      </c>
      <c r="K1079" s="1">
        <v>0</v>
      </c>
      <c r="L1079" s="1">
        <v>47.45</v>
      </c>
      <c r="M1079" s="1">
        <v>15.2</v>
      </c>
      <c r="N1079" s="1">
        <v>32</v>
      </c>
      <c r="O1079" s="1" t="s">
        <v>26</v>
      </c>
      <c r="P1079" s="1" t="s">
        <v>43</v>
      </c>
    </row>
    <row r="1080" spans="1:16" x14ac:dyDescent="0.3">
      <c r="A1080" s="1">
        <v>100563</v>
      </c>
      <c r="B1080" s="2">
        <v>45719</v>
      </c>
      <c r="C1080" s="1" t="s">
        <v>1118</v>
      </c>
      <c r="D1080" s="1" t="s">
        <v>68</v>
      </c>
      <c r="E1080" s="1" t="s">
        <v>25</v>
      </c>
      <c r="F1080" s="1" t="s">
        <v>1238</v>
      </c>
      <c r="G1080" s="1" t="s">
        <v>18</v>
      </c>
      <c r="H1080" s="1">
        <v>3</v>
      </c>
      <c r="I1080" s="1">
        <f>Table1[[#This Row],[Units_Sold]]*Table1[[#This Row],[Unit_Price]]</f>
        <v>682.89</v>
      </c>
      <c r="J1080" s="1">
        <v>227.63</v>
      </c>
      <c r="K1080" s="1">
        <v>0</v>
      </c>
      <c r="L1080" s="1">
        <v>682.89</v>
      </c>
      <c r="M1080" s="1">
        <v>184.94</v>
      </c>
      <c r="N1080" s="1">
        <v>38</v>
      </c>
      <c r="O1080" s="1" t="s">
        <v>26</v>
      </c>
      <c r="P1080" s="1" t="s">
        <v>51</v>
      </c>
    </row>
    <row r="1081" spans="1:16" x14ac:dyDescent="0.3">
      <c r="A1081" s="1">
        <v>100742</v>
      </c>
      <c r="B1081" s="2">
        <v>45710</v>
      </c>
      <c r="C1081" s="1" t="s">
        <v>1119</v>
      </c>
      <c r="D1081" s="1" t="s">
        <v>77</v>
      </c>
      <c r="E1081" s="1" t="s">
        <v>30</v>
      </c>
      <c r="F1081" s="1" t="s">
        <v>1237</v>
      </c>
      <c r="G1081" s="1" t="s">
        <v>48</v>
      </c>
      <c r="H1081" s="1">
        <v>6</v>
      </c>
      <c r="I1081" s="1">
        <f>Table1[[#This Row],[Units_Sold]]*Table1[[#This Row],[Unit_Price]]</f>
        <v>268.02</v>
      </c>
      <c r="J1081" s="1">
        <v>44.67</v>
      </c>
      <c r="K1081" s="1">
        <v>0</v>
      </c>
      <c r="L1081" s="1">
        <v>268.02</v>
      </c>
      <c r="M1081" s="1">
        <v>60.38</v>
      </c>
      <c r="N1081" s="1">
        <v>38</v>
      </c>
      <c r="O1081" s="1" t="s">
        <v>19</v>
      </c>
      <c r="P1081" s="1" t="s">
        <v>43</v>
      </c>
    </row>
    <row r="1082" spans="1:16" x14ac:dyDescent="0.3">
      <c r="A1082" s="1">
        <v>100863</v>
      </c>
      <c r="B1082" s="2">
        <v>45480</v>
      </c>
      <c r="C1082" s="1" t="s">
        <v>1120</v>
      </c>
      <c r="D1082" s="1" t="s">
        <v>42</v>
      </c>
      <c r="E1082" s="1" t="s">
        <v>25</v>
      </c>
      <c r="F1082" s="1" t="s">
        <v>1238</v>
      </c>
      <c r="G1082" s="1" t="s">
        <v>18</v>
      </c>
      <c r="H1082" s="1">
        <v>2</v>
      </c>
      <c r="I1082" s="1">
        <f>Table1[[#This Row],[Units_Sold]]*Table1[[#This Row],[Unit_Price]]</f>
        <v>353.58</v>
      </c>
      <c r="J1082" s="1">
        <v>176.79</v>
      </c>
      <c r="K1082" s="1">
        <v>0</v>
      </c>
      <c r="L1082" s="1">
        <v>353.58</v>
      </c>
      <c r="M1082" s="1">
        <v>99.97</v>
      </c>
      <c r="N1082" s="1">
        <v>33</v>
      </c>
      <c r="O1082" s="1" t="s">
        <v>19</v>
      </c>
      <c r="P1082" s="1" t="s">
        <v>46</v>
      </c>
    </row>
    <row r="1083" spans="1:16" x14ac:dyDescent="0.3">
      <c r="A1083" s="1">
        <v>100891</v>
      </c>
      <c r="B1083" s="2">
        <v>45446</v>
      </c>
      <c r="C1083" s="1" t="s">
        <v>1121</v>
      </c>
      <c r="D1083" s="1" t="s">
        <v>45</v>
      </c>
      <c r="E1083" s="1" t="s">
        <v>30</v>
      </c>
      <c r="F1083" s="1" t="s">
        <v>1238</v>
      </c>
      <c r="G1083" s="1" t="s">
        <v>18</v>
      </c>
      <c r="H1083" s="1">
        <v>1</v>
      </c>
      <c r="I1083" s="1">
        <f>Table1[[#This Row],[Units_Sold]]*Table1[[#This Row],[Unit_Price]]</f>
        <v>16.23</v>
      </c>
      <c r="J1083" s="1">
        <v>16.23</v>
      </c>
      <c r="K1083" s="1">
        <v>0</v>
      </c>
      <c r="L1083" s="1">
        <v>16.23</v>
      </c>
      <c r="M1083" s="1">
        <v>4.01</v>
      </c>
      <c r="N1083" s="1">
        <v>27</v>
      </c>
      <c r="O1083" s="1" t="s">
        <v>26</v>
      </c>
      <c r="P1083" s="1" t="s">
        <v>51</v>
      </c>
    </row>
    <row r="1084" spans="1:16" x14ac:dyDescent="0.3">
      <c r="A1084" s="1">
        <v>101038</v>
      </c>
      <c r="B1084" s="2">
        <v>45410</v>
      </c>
      <c r="C1084" s="1" t="s">
        <v>1122</v>
      </c>
      <c r="D1084" s="1" t="s">
        <v>22</v>
      </c>
      <c r="E1084" s="1" t="s">
        <v>17</v>
      </c>
      <c r="F1084" s="1" t="s">
        <v>1241</v>
      </c>
      <c r="G1084" s="1" t="s">
        <v>18</v>
      </c>
      <c r="H1084" s="1">
        <v>3</v>
      </c>
      <c r="I1084" s="1">
        <f>Table1[[#This Row],[Units_Sold]]*Table1[[#This Row],[Unit_Price]]</f>
        <v>66.989999999999995</v>
      </c>
      <c r="J1084" s="1">
        <v>22.33</v>
      </c>
      <c r="K1084" s="1">
        <v>0</v>
      </c>
      <c r="L1084" s="1">
        <v>66.989999999999995</v>
      </c>
      <c r="M1084" s="1">
        <v>27.34</v>
      </c>
      <c r="N1084" s="1">
        <v>46</v>
      </c>
      <c r="O1084" s="1" t="s">
        <v>19</v>
      </c>
      <c r="P1084" s="1" t="s">
        <v>43</v>
      </c>
    </row>
    <row r="1085" spans="1:16" x14ac:dyDescent="0.3">
      <c r="A1085" s="1">
        <v>100206</v>
      </c>
      <c r="B1085" s="2">
        <v>45262</v>
      </c>
      <c r="C1085" s="1" t="s">
        <v>1123</v>
      </c>
      <c r="D1085" s="1" t="s">
        <v>100</v>
      </c>
      <c r="E1085" s="1" t="s">
        <v>25</v>
      </c>
      <c r="F1085" s="1" t="s">
        <v>1238</v>
      </c>
      <c r="G1085" s="1" t="s">
        <v>31</v>
      </c>
      <c r="H1085" s="1">
        <v>4</v>
      </c>
      <c r="I1085" s="1">
        <f>Table1[[#This Row],[Units_Sold]]*Table1[[#This Row],[Unit_Price]]</f>
        <v>570.52</v>
      </c>
      <c r="J1085" s="1">
        <v>142.63</v>
      </c>
      <c r="K1085" s="1">
        <v>5</v>
      </c>
      <c r="L1085" s="1">
        <v>541.99</v>
      </c>
      <c r="M1085" s="1">
        <v>160.16999999999999</v>
      </c>
      <c r="N1085" s="1">
        <v>27</v>
      </c>
      <c r="O1085" s="1" t="s">
        <v>19</v>
      </c>
      <c r="P1085" s="1" t="s">
        <v>43</v>
      </c>
    </row>
    <row r="1086" spans="1:16" x14ac:dyDescent="0.3">
      <c r="A1086" s="1">
        <v>100392</v>
      </c>
      <c r="B1086" s="2">
        <v>45456</v>
      </c>
      <c r="C1086" s="1" t="s">
        <v>849</v>
      </c>
      <c r="D1086" s="1" t="s">
        <v>37</v>
      </c>
      <c r="E1086" s="1" t="s">
        <v>17</v>
      </c>
      <c r="F1086" s="1" t="s">
        <v>1237</v>
      </c>
      <c r="G1086" s="1" t="s">
        <v>48</v>
      </c>
      <c r="H1086" s="1">
        <v>3</v>
      </c>
      <c r="I1086" s="1">
        <f>Table1[[#This Row],[Units_Sold]]*Table1[[#This Row],[Unit_Price]]</f>
        <v>215.49</v>
      </c>
      <c r="J1086" s="1">
        <v>71.83</v>
      </c>
      <c r="K1086" s="1">
        <v>0</v>
      </c>
      <c r="L1086" s="1">
        <v>215.49</v>
      </c>
      <c r="M1086" s="1">
        <v>64.22</v>
      </c>
      <c r="N1086" s="1">
        <v>27</v>
      </c>
      <c r="O1086" s="1" t="s">
        <v>19</v>
      </c>
      <c r="P1086" s="1" t="s">
        <v>43</v>
      </c>
    </row>
    <row r="1087" spans="1:16" x14ac:dyDescent="0.3">
      <c r="A1087" s="1">
        <v>100794</v>
      </c>
      <c r="B1087" s="2">
        <v>45292</v>
      </c>
      <c r="C1087" s="1" t="s">
        <v>1124</v>
      </c>
      <c r="D1087" s="1" t="s">
        <v>45</v>
      </c>
      <c r="E1087" s="1" t="s">
        <v>30</v>
      </c>
      <c r="F1087" s="1" t="s">
        <v>1238</v>
      </c>
      <c r="G1087" s="1" t="s">
        <v>48</v>
      </c>
      <c r="H1087" s="1">
        <v>4</v>
      </c>
      <c r="I1087" s="1">
        <f>Table1[[#This Row],[Units_Sold]]*Table1[[#This Row],[Unit_Price]]</f>
        <v>66.959999999999994</v>
      </c>
      <c r="J1087" s="1">
        <v>16.739999999999998</v>
      </c>
      <c r="K1087" s="1">
        <v>5</v>
      </c>
      <c r="L1087" s="1">
        <v>63.61</v>
      </c>
      <c r="M1087" s="1">
        <v>20.64</v>
      </c>
      <c r="N1087" s="1">
        <v>30</v>
      </c>
      <c r="O1087" s="1" t="s">
        <v>19</v>
      </c>
      <c r="P1087" s="1" t="s">
        <v>27</v>
      </c>
    </row>
    <row r="1088" spans="1:16" x14ac:dyDescent="0.3">
      <c r="A1088" s="1">
        <v>100870</v>
      </c>
      <c r="B1088" s="2">
        <v>45733</v>
      </c>
      <c r="C1088" s="1" t="s">
        <v>1125</v>
      </c>
      <c r="D1088" s="1" t="s">
        <v>24</v>
      </c>
      <c r="E1088" s="1" t="s">
        <v>25</v>
      </c>
      <c r="F1088" s="1" t="s">
        <v>1239</v>
      </c>
      <c r="G1088" s="1" t="s">
        <v>48</v>
      </c>
      <c r="H1088" s="1">
        <v>3</v>
      </c>
      <c r="I1088" s="1">
        <f>Table1[[#This Row],[Units_Sold]]*Table1[[#This Row],[Unit_Price]]</f>
        <v>324.87</v>
      </c>
      <c r="J1088" s="1">
        <v>108.29</v>
      </c>
      <c r="K1088" s="1">
        <v>0</v>
      </c>
      <c r="L1088" s="1">
        <v>324.87</v>
      </c>
      <c r="M1088" s="1">
        <v>91.11</v>
      </c>
      <c r="N1088" s="1">
        <v>17</v>
      </c>
      <c r="O1088" s="1" t="s">
        <v>26</v>
      </c>
      <c r="P1088" s="1" t="s">
        <v>27</v>
      </c>
    </row>
    <row r="1089" spans="1:16" x14ac:dyDescent="0.3">
      <c r="A1089" s="1">
        <v>100397</v>
      </c>
      <c r="B1089" s="2">
        <v>45193</v>
      </c>
      <c r="C1089" s="1" t="s">
        <v>1126</v>
      </c>
      <c r="D1089" s="1" t="s">
        <v>77</v>
      </c>
      <c r="E1089" s="1" t="s">
        <v>30</v>
      </c>
      <c r="F1089" s="1" t="s">
        <v>1239</v>
      </c>
      <c r="G1089" s="1" t="s">
        <v>31</v>
      </c>
      <c r="H1089" s="1">
        <v>1</v>
      </c>
      <c r="I1089" s="1">
        <f>Table1[[#This Row],[Units_Sold]]*Table1[[#This Row],[Unit_Price]]</f>
        <v>36.369999999999997</v>
      </c>
      <c r="J1089" s="1">
        <v>36.369999999999997</v>
      </c>
      <c r="K1089" s="1">
        <v>5</v>
      </c>
      <c r="L1089" s="1">
        <v>34.549999999999997</v>
      </c>
      <c r="M1089" s="1">
        <v>10.85</v>
      </c>
      <c r="N1089" s="1">
        <v>22</v>
      </c>
      <c r="O1089" s="1" t="s">
        <v>19</v>
      </c>
      <c r="P1089" s="1" t="s">
        <v>27</v>
      </c>
    </row>
    <row r="1090" spans="1:16" x14ac:dyDescent="0.3">
      <c r="A1090" s="1">
        <v>100766</v>
      </c>
      <c r="B1090" s="2">
        <v>45511</v>
      </c>
      <c r="C1090" s="1" t="s">
        <v>1127</v>
      </c>
      <c r="D1090" s="1" t="s">
        <v>56</v>
      </c>
      <c r="E1090" s="1" t="s">
        <v>30</v>
      </c>
      <c r="F1090" s="1" t="s">
        <v>1238</v>
      </c>
      <c r="G1090" s="1" t="s">
        <v>48</v>
      </c>
      <c r="H1090" s="1">
        <v>2</v>
      </c>
      <c r="I1090" s="1">
        <f>Table1[[#This Row],[Units_Sold]]*Table1[[#This Row],[Unit_Price]]</f>
        <v>94.28</v>
      </c>
      <c r="J1090" s="1">
        <v>47.14</v>
      </c>
      <c r="K1090" s="1">
        <v>0</v>
      </c>
      <c r="L1090" s="1">
        <v>94.28</v>
      </c>
      <c r="M1090" s="1">
        <v>27.22</v>
      </c>
      <c r="N1090" s="1">
        <v>17</v>
      </c>
      <c r="O1090" s="1" t="s">
        <v>19</v>
      </c>
      <c r="P1090" s="1" t="s">
        <v>20</v>
      </c>
    </row>
    <row r="1091" spans="1:16" x14ac:dyDescent="0.3">
      <c r="A1091" s="1">
        <v>101099</v>
      </c>
      <c r="B1091" s="2">
        <v>45885</v>
      </c>
      <c r="C1091" s="1" t="s">
        <v>1128</v>
      </c>
      <c r="D1091" s="1" t="s">
        <v>59</v>
      </c>
      <c r="E1091" s="1" t="s">
        <v>17</v>
      </c>
      <c r="F1091" s="1" t="s">
        <v>1240</v>
      </c>
      <c r="G1091" s="1" t="s">
        <v>18</v>
      </c>
      <c r="H1091" s="1">
        <v>2</v>
      </c>
      <c r="I1091" s="1">
        <f>Table1[[#This Row],[Units_Sold]]*Table1[[#This Row],[Unit_Price]]</f>
        <v>59.14</v>
      </c>
      <c r="J1091" s="1">
        <v>29.57</v>
      </c>
      <c r="K1091" s="1">
        <v>0</v>
      </c>
      <c r="L1091" s="1">
        <v>59.14</v>
      </c>
      <c r="M1091" s="1">
        <v>16</v>
      </c>
      <c r="N1091" s="1">
        <v>31</v>
      </c>
      <c r="O1091" s="1" t="s">
        <v>26</v>
      </c>
      <c r="P1091" s="1" t="s">
        <v>81</v>
      </c>
    </row>
    <row r="1092" spans="1:16" x14ac:dyDescent="0.3">
      <c r="A1092" s="1">
        <v>101028</v>
      </c>
      <c r="B1092" s="2">
        <v>45218</v>
      </c>
      <c r="C1092" s="1" t="s">
        <v>1129</v>
      </c>
      <c r="D1092" s="1" t="s">
        <v>70</v>
      </c>
      <c r="E1092" s="1" t="s">
        <v>25</v>
      </c>
      <c r="F1092" s="1" t="s">
        <v>1238</v>
      </c>
      <c r="G1092" s="1" t="s">
        <v>18</v>
      </c>
      <c r="H1092" s="1">
        <v>3</v>
      </c>
      <c r="I1092" s="1">
        <f>Table1[[#This Row],[Units_Sold]]*Table1[[#This Row],[Unit_Price]]</f>
        <v>435.21</v>
      </c>
      <c r="J1092" s="1">
        <v>145.07</v>
      </c>
      <c r="K1092" s="1">
        <v>10</v>
      </c>
      <c r="L1092" s="1">
        <v>391.69</v>
      </c>
      <c r="M1092" s="1">
        <v>137.51</v>
      </c>
      <c r="N1092" s="1">
        <v>24</v>
      </c>
      <c r="O1092" s="1" t="s">
        <v>26</v>
      </c>
      <c r="P1092" s="1" t="s">
        <v>51</v>
      </c>
    </row>
    <row r="1093" spans="1:16" x14ac:dyDescent="0.3">
      <c r="A1093" s="1">
        <v>100642</v>
      </c>
      <c r="B1093" s="2">
        <v>45554</v>
      </c>
      <c r="C1093" s="1" t="s">
        <v>1130</v>
      </c>
      <c r="D1093" s="1" t="s">
        <v>70</v>
      </c>
      <c r="E1093" s="1" t="s">
        <v>25</v>
      </c>
      <c r="F1093" s="1" t="s">
        <v>1238</v>
      </c>
      <c r="G1093" s="1" t="s">
        <v>18</v>
      </c>
      <c r="H1093" s="1">
        <v>4</v>
      </c>
      <c r="I1093" s="1">
        <f>Table1[[#This Row],[Units_Sold]]*Table1[[#This Row],[Unit_Price]]</f>
        <v>659.56</v>
      </c>
      <c r="J1093" s="1">
        <v>164.89</v>
      </c>
      <c r="K1093" s="1">
        <v>0</v>
      </c>
      <c r="L1093" s="1">
        <v>659.56</v>
      </c>
      <c r="M1093" s="1">
        <v>216.79</v>
      </c>
      <c r="N1093" s="1">
        <v>19</v>
      </c>
      <c r="O1093" s="1" t="s">
        <v>26</v>
      </c>
      <c r="P1093" s="1" t="s">
        <v>46</v>
      </c>
    </row>
    <row r="1094" spans="1:16" x14ac:dyDescent="0.3">
      <c r="A1094" s="1">
        <v>100612</v>
      </c>
      <c r="B1094" s="2">
        <v>45389</v>
      </c>
      <c r="C1094" s="1" t="s">
        <v>1131</v>
      </c>
      <c r="D1094" s="1" t="s">
        <v>16</v>
      </c>
      <c r="E1094" s="1" t="s">
        <v>17</v>
      </c>
      <c r="F1094" s="1" t="s">
        <v>1238</v>
      </c>
      <c r="G1094" s="1" t="s">
        <v>18</v>
      </c>
      <c r="H1094" s="1">
        <v>2</v>
      </c>
      <c r="I1094" s="1">
        <f>Table1[[#This Row],[Units_Sold]]*Table1[[#This Row],[Unit_Price]]</f>
        <v>123.5</v>
      </c>
      <c r="J1094" s="1">
        <v>61.75</v>
      </c>
      <c r="K1094" s="1">
        <v>20</v>
      </c>
      <c r="L1094" s="1">
        <v>98.8</v>
      </c>
      <c r="M1094" s="1">
        <v>23.77</v>
      </c>
      <c r="N1094" s="1">
        <v>19</v>
      </c>
      <c r="O1094" s="1" t="s">
        <v>19</v>
      </c>
      <c r="P1094" s="1" t="s">
        <v>51</v>
      </c>
    </row>
    <row r="1095" spans="1:16" x14ac:dyDescent="0.3">
      <c r="A1095" s="1">
        <v>100960</v>
      </c>
      <c r="B1095" s="2">
        <v>45650</v>
      </c>
      <c r="C1095" s="1" t="s">
        <v>1132</v>
      </c>
      <c r="D1095" s="1" t="s">
        <v>77</v>
      </c>
      <c r="E1095" s="1" t="s">
        <v>30</v>
      </c>
      <c r="F1095" s="1" t="s">
        <v>1241</v>
      </c>
      <c r="G1095" s="1" t="s">
        <v>48</v>
      </c>
      <c r="H1095" s="1">
        <v>2</v>
      </c>
      <c r="I1095" s="1">
        <f>Table1[[#This Row],[Units_Sold]]*Table1[[#This Row],[Unit_Price]]</f>
        <v>84.42</v>
      </c>
      <c r="J1095" s="1">
        <v>42.21</v>
      </c>
      <c r="K1095" s="1">
        <v>0</v>
      </c>
      <c r="L1095" s="1">
        <v>84.42</v>
      </c>
      <c r="M1095" s="1">
        <v>23.82</v>
      </c>
      <c r="N1095" s="1">
        <v>27</v>
      </c>
      <c r="O1095" s="1" t="s">
        <v>19</v>
      </c>
      <c r="P1095" s="1" t="s">
        <v>35</v>
      </c>
    </row>
    <row r="1096" spans="1:16" x14ac:dyDescent="0.3">
      <c r="A1096" s="1">
        <v>100725</v>
      </c>
      <c r="B1096" s="2">
        <v>45204</v>
      </c>
      <c r="C1096" s="1" t="s">
        <v>1133</v>
      </c>
      <c r="D1096" s="1" t="s">
        <v>59</v>
      </c>
      <c r="E1096" s="1" t="s">
        <v>17</v>
      </c>
      <c r="F1096" s="1" t="s">
        <v>1237</v>
      </c>
      <c r="G1096" s="1" t="s">
        <v>48</v>
      </c>
      <c r="H1096" s="1">
        <v>5</v>
      </c>
      <c r="I1096" s="1">
        <f>Table1[[#This Row],[Units_Sold]]*Table1[[#This Row],[Unit_Price]]</f>
        <v>132.30000000000001</v>
      </c>
      <c r="J1096" s="1">
        <v>26.46</v>
      </c>
      <c r="K1096" s="1">
        <v>10</v>
      </c>
      <c r="L1096" s="1">
        <v>119.07</v>
      </c>
      <c r="M1096" s="1">
        <v>31.62</v>
      </c>
      <c r="N1096" s="1">
        <v>16</v>
      </c>
      <c r="O1096" s="1" t="s">
        <v>26</v>
      </c>
      <c r="P1096" s="1" t="s">
        <v>20</v>
      </c>
    </row>
    <row r="1097" spans="1:16" x14ac:dyDescent="0.3">
      <c r="A1097" s="1">
        <v>100683</v>
      </c>
      <c r="B1097" s="2">
        <v>45260</v>
      </c>
      <c r="C1097" s="1" t="s">
        <v>1134</v>
      </c>
      <c r="D1097" s="1" t="s">
        <v>37</v>
      </c>
      <c r="E1097" s="1" t="s">
        <v>17</v>
      </c>
      <c r="F1097" s="1" t="s">
        <v>1237</v>
      </c>
      <c r="G1097" s="1" t="s">
        <v>48</v>
      </c>
      <c r="H1097" s="1">
        <v>5</v>
      </c>
      <c r="I1097" s="1">
        <f>Table1[[#This Row],[Units_Sold]]*Table1[[#This Row],[Unit_Price]]</f>
        <v>359.54999999999995</v>
      </c>
      <c r="J1097" s="1">
        <v>71.91</v>
      </c>
      <c r="K1097" s="1">
        <v>10</v>
      </c>
      <c r="L1097" s="1">
        <v>323.58999999999997</v>
      </c>
      <c r="M1097" s="1">
        <v>110.59</v>
      </c>
      <c r="N1097" s="1">
        <v>36</v>
      </c>
      <c r="O1097" s="1" t="s">
        <v>26</v>
      </c>
      <c r="P1097" s="1" t="s">
        <v>51</v>
      </c>
    </row>
    <row r="1098" spans="1:16" x14ac:dyDescent="0.3">
      <c r="A1098" s="1">
        <v>100098</v>
      </c>
      <c r="B1098" s="2">
        <v>45434</v>
      </c>
      <c r="C1098" s="1" t="s">
        <v>1135</v>
      </c>
      <c r="D1098" s="1" t="s">
        <v>70</v>
      </c>
      <c r="E1098" s="1" t="s">
        <v>25</v>
      </c>
      <c r="F1098" s="1" t="s">
        <v>1240</v>
      </c>
      <c r="G1098" s="1" t="s">
        <v>18</v>
      </c>
      <c r="H1098" s="1">
        <v>2</v>
      </c>
      <c r="I1098" s="1">
        <f>Table1[[#This Row],[Units_Sold]]*Table1[[#This Row],[Unit_Price]]</f>
        <v>291.32</v>
      </c>
      <c r="J1098" s="1">
        <v>145.66</v>
      </c>
      <c r="K1098" s="1">
        <v>10</v>
      </c>
      <c r="L1098" s="1">
        <v>262.19</v>
      </c>
      <c r="M1098" s="1">
        <v>75.53</v>
      </c>
      <c r="N1098" s="1">
        <v>26</v>
      </c>
      <c r="O1098" s="1" t="s">
        <v>26</v>
      </c>
      <c r="P1098" s="1" t="s">
        <v>46</v>
      </c>
    </row>
    <row r="1099" spans="1:16" x14ac:dyDescent="0.3">
      <c r="A1099" s="1">
        <v>100804</v>
      </c>
      <c r="B1099" s="2">
        <v>45022</v>
      </c>
      <c r="C1099" s="1" t="s">
        <v>1136</v>
      </c>
      <c r="D1099" s="1" t="s">
        <v>70</v>
      </c>
      <c r="E1099" s="1" t="s">
        <v>25</v>
      </c>
      <c r="F1099" s="1" t="s">
        <v>1240</v>
      </c>
      <c r="G1099" s="1" t="s">
        <v>31</v>
      </c>
      <c r="H1099" s="1">
        <v>2</v>
      </c>
      <c r="I1099" s="1">
        <f>Table1[[#This Row],[Units_Sold]]*Table1[[#This Row],[Unit_Price]]</f>
        <v>289.38</v>
      </c>
      <c r="J1099" s="1">
        <v>144.69</v>
      </c>
      <c r="K1099" s="1">
        <v>0</v>
      </c>
      <c r="L1099" s="1">
        <v>289.38</v>
      </c>
      <c r="M1099" s="1">
        <v>81.88</v>
      </c>
      <c r="N1099" s="1">
        <v>25</v>
      </c>
      <c r="O1099" s="1" t="s">
        <v>19</v>
      </c>
      <c r="P1099" s="1" t="s">
        <v>35</v>
      </c>
    </row>
    <row r="1100" spans="1:16" x14ac:dyDescent="0.3">
      <c r="A1100" s="1">
        <v>100406</v>
      </c>
      <c r="B1100" s="2">
        <v>45156</v>
      </c>
      <c r="C1100" s="1" t="s">
        <v>1137</v>
      </c>
      <c r="D1100" s="1" t="s">
        <v>68</v>
      </c>
      <c r="E1100" s="1" t="s">
        <v>25</v>
      </c>
      <c r="F1100" s="1" t="s">
        <v>1241</v>
      </c>
      <c r="G1100" s="1" t="s">
        <v>31</v>
      </c>
      <c r="H1100" s="1">
        <v>2</v>
      </c>
      <c r="I1100" s="1">
        <f>Table1[[#This Row],[Units_Sold]]*Table1[[#This Row],[Unit_Price]]</f>
        <v>432.76</v>
      </c>
      <c r="J1100" s="1">
        <v>216.38</v>
      </c>
      <c r="K1100" s="1">
        <v>20</v>
      </c>
      <c r="L1100" s="1">
        <v>346.21</v>
      </c>
      <c r="M1100" s="1">
        <v>92.61</v>
      </c>
      <c r="N1100" s="1">
        <v>32</v>
      </c>
      <c r="O1100" s="1" t="s">
        <v>26</v>
      </c>
      <c r="P1100" s="1" t="s">
        <v>81</v>
      </c>
    </row>
    <row r="1101" spans="1:16" x14ac:dyDescent="0.3">
      <c r="A1101" s="1">
        <v>100502</v>
      </c>
      <c r="B1101" s="2">
        <v>45724</v>
      </c>
      <c r="C1101" s="1" t="s">
        <v>1138</v>
      </c>
      <c r="D1101" s="1" t="s">
        <v>87</v>
      </c>
      <c r="E1101" s="1" t="s">
        <v>25</v>
      </c>
      <c r="F1101" s="1" t="s">
        <v>1241</v>
      </c>
      <c r="G1101" s="1" t="s">
        <v>64</v>
      </c>
      <c r="H1101" s="1">
        <v>5</v>
      </c>
      <c r="I1101" s="1">
        <f>Table1[[#This Row],[Units_Sold]]*Table1[[#This Row],[Unit_Price]]</f>
        <v>447.8</v>
      </c>
      <c r="J1101" s="1">
        <v>89.56</v>
      </c>
      <c r="K1101" s="1">
        <v>10</v>
      </c>
      <c r="L1101" s="1">
        <v>403.02</v>
      </c>
      <c r="M1101" s="1">
        <v>115.02</v>
      </c>
      <c r="N1101" s="1">
        <v>36</v>
      </c>
      <c r="O1101" s="1" t="s">
        <v>26</v>
      </c>
      <c r="P1101" s="1" t="s">
        <v>81</v>
      </c>
    </row>
    <row r="1102" spans="1:16" x14ac:dyDescent="0.3">
      <c r="A1102" s="1">
        <v>101071</v>
      </c>
      <c r="B1102" s="2">
        <v>45860</v>
      </c>
      <c r="C1102" s="1" t="s">
        <v>1139</v>
      </c>
      <c r="D1102" s="1" t="s">
        <v>59</v>
      </c>
      <c r="E1102" s="1" t="s">
        <v>17</v>
      </c>
      <c r="F1102" s="1" t="s">
        <v>1239</v>
      </c>
      <c r="G1102" s="1" t="s">
        <v>31</v>
      </c>
      <c r="H1102" s="1">
        <v>1</v>
      </c>
      <c r="I1102" s="1">
        <f>Table1[[#This Row],[Units_Sold]]*Table1[[#This Row],[Unit_Price]]</f>
        <v>30.18</v>
      </c>
      <c r="J1102" s="1">
        <v>30.18</v>
      </c>
      <c r="K1102" s="1">
        <v>5</v>
      </c>
      <c r="L1102" s="1">
        <v>28.67</v>
      </c>
      <c r="M1102" s="1">
        <v>7.28</v>
      </c>
      <c r="N1102" s="1">
        <v>43</v>
      </c>
      <c r="O1102" s="1" t="s">
        <v>26</v>
      </c>
      <c r="P1102" s="1" t="s">
        <v>46</v>
      </c>
    </row>
    <row r="1103" spans="1:16" x14ac:dyDescent="0.3">
      <c r="A1103" s="1">
        <v>101056</v>
      </c>
      <c r="B1103" s="2">
        <v>45671</v>
      </c>
      <c r="C1103" s="1" t="s">
        <v>1140</v>
      </c>
      <c r="D1103" s="1" t="s">
        <v>39</v>
      </c>
      <c r="E1103" s="1" t="s">
        <v>25</v>
      </c>
      <c r="F1103" s="1" t="s">
        <v>1238</v>
      </c>
      <c r="G1103" s="1" t="s">
        <v>18</v>
      </c>
      <c r="H1103" s="1">
        <v>3</v>
      </c>
      <c r="I1103" s="1">
        <f>Table1[[#This Row],[Units_Sold]]*Table1[[#This Row],[Unit_Price]]</f>
        <v>417.59999999999997</v>
      </c>
      <c r="J1103" s="1">
        <v>139.19999999999999</v>
      </c>
      <c r="K1103" s="1">
        <v>0</v>
      </c>
      <c r="L1103" s="1">
        <v>417.6</v>
      </c>
      <c r="M1103" s="1">
        <v>153.66</v>
      </c>
      <c r="N1103" s="1">
        <v>44</v>
      </c>
      <c r="O1103" s="1" t="s">
        <v>19</v>
      </c>
      <c r="P1103" s="1" t="s">
        <v>81</v>
      </c>
    </row>
    <row r="1104" spans="1:16" x14ac:dyDescent="0.3">
      <c r="A1104" s="1">
        <v>100929</v>
      </c>
      <c r="B1104" s="2">
        <v>45690</v>
      </c>
      <c r="C1104" s="1" t="s">
        <v>1141</v>
      </c>
      <c r="D1104" s="1" t="s">
        <v>62</v>
      </c>
      <c r="E1104" s="1" t="s">
        <v>17</v>
      </c>
      <c r="F1104" s="1" t="s">
        <v>1238</v>
      </c>
      <c r="G1104" s="1" t="s">
        <v>18</v>
      </c>
      <c r="H1104" s="1">
        <v>4</v>
      </c>
      <c r="I1104" s="1">
        <f>Table1[[#This Row],[Units_Sold]]*Table1[[#This Row],[Unit_Price]]</f>
        <v>568.88</v>
      </c>
      <c r="J1104" s="1">
        <v>142.22</v>
      </c>
      <c r="K1104" s="1">
        <v>0</v>
      </c>
      <c r="L1104" s="1">
        <v>568.88</v>
      </c>
      <c r="M1104" s="1">
        <v>177.14</v>
      </c>
      <c r="N1104" s="1">
        <v>28</v>
      </c>
      <c r="O1104" s="1" t="s">
        <v>26</v>
      </c>
      <c r="P1104" s="1" t="s">
        <v>35</v>
      </c>
    </row>
    <row r="1105" spans="1:16" x14ac:dyDescent="0.3">
      <c r="A1105" s="1">
        <v>100779</v>
      </c>
      <c r="B1105" s="2">
        <v>45013</v>
      </c>
      <c r="C1105" s="1" t="s">
        <v>1142</v>
      </c>
      <c r="D1105" s="1" t="s">
        <v>34</v>
      </c>
      <c r="E1105" s="1" t="s">
        <v>30</v>
      </c>
      <c r="F1105" s="1" t="s">
        <v>1238</v>
      </c>
      <c r="G1105" s="1" t="s">
        <v>18</v>
      </c>
      <c r="H1105" s="1">
        <v>3</v>
      </c>
      <c r="I1105" s="1">
        <f>Table1[[#This Row],[Units_Sold]]*Table1[[#This Row],[Unit_Price]]</f>
        <v>169.62</v>
      </c>
      <c r="J1105" s="1">
        <v>56.54</v>
      </c>
      <c r="K1105" s="1">
        <v>5</v>
      </c>
      <c r="L1105" s="1">
        <v>161.13999999999999</v>
      </c>
      <c r="M1105" s="1">
        <v>47.71</v>
      </c>
      <c r="N1105" s="1">
        <v>22</v>
      </c>
      <c r="O1105" s="1" t="s">
        <v>19</v>
      </c>
      <c r="P1105" s="1" t="s">
        <v>51</v>
      </c>
    </row>
    <row r="1106" spans="1:16" x14ac:dyDescent="0.3">
      <c r="A1106" s="1">
        <v>100200</v>
      </c>
      <c r="B1106" s="2">
        <v>45436</v>
      </c>
      <c r="C1106" s="1" t="s">
        <v>1143</v>
      </c>
      <c r="D1106" s="1" t="s">
        <v>39</v>
      </c>
      <c r="E1106" s="1" t="s">
        <v>25</v>
      </c>
      <c r="F1106" s="1" t="s">
        <v>1238</v>
      </c>
      <c r="G1106" s="1" t="s">
        <v>31</v>
      </c>
      <c r="H1106" s="1">
        <v>4</v>
      </c>
      <c r="I1106" s="1">
        <f>Table1[[#This Row],[Units_Sold]]*Table1[[#This Row],[Unit_Price]]</f>
        <v>688.32</v>
      </c>
      <c r="J1106" s="1">
        <v>172.08</v>
      </c>
      <c r="K1106" s="1">
        <v>10</v>
      </c>
      <c r="L1106" s="1">
        <v>619.49</v>
      </c>
      <c r="M1106" s="1">
        <v>165.04</v>
      </c>
      <c r="N1106" s="1">
        <v>34</v>
      </c>
      <c r="O1106" s="1" t="s">
        <v>26</v>
      </c>
      <c r="P1106" s="1" t="s">
        <v>43</v>
      </c>
    </row>
    <row r="1107" spans="1:16" x14ac:dyDescent="0.3">
      <c r="A1107" s="1">
        <v>100134</v>
      </c>
      <c r="B1107" s="2">
        <v>45792</v>
      </c>
      <c r="C1107" s="1" t="s">
        <v>1144</v>
      </c>
      <c r="D1107" s="1" t="s">
        <v>45</v>
      </c>
      <c r="E1107" s="1" t="s">
        <v>30</v>
      </c>
      <c r="F1107" s="1" t="s">
        <v>1237</v>
      </c>
      <c r="G1107" s="1" t="s">
        <v>31</v>
      </c>
      <c r="H1107" s="1">
        <v>3</v>
      </c>
      <c r="I1107" s="1">
        <f>Table1[[#This Row],[Units_Sold]]*Table1[[#This Row],[Unit_Price]]</f>
        <v>47.730000000000004</v>
      </c>
      <c r="J1107" s="1">
        <v>15.91</v>
      </c>
      <c r="K1107" s="1">
        <v>0</v>
      </c>
      <c r="L1107" s="1">
        <v>47.73</v>
      </c>
      <c r="M1107" s="1">
        <v>11.03</v>
      </c>
      <c r="N1107" s="1">
        <v>31</v>
      </c>
      <c r="O1107" s="1" t="s">
        <v>19</v>
      </c>
      <c r="P1107" s="1" t="s">
        <v>81</v>
      </c>
    </row>
    <row r="1108" spans="1:16" x14ac:dyDescent="0.3">
      <c r="A1108" s="1">
        <v>101051</v>
      </c>
      <c r="B1108" s="2">
        <v>45151</v>
      </c>
      <c r="C1108" s="1" t="s">
        <v>687</v>
      </c>
      <c r="D1108" s="1" t="s">
        <v>22</v>
      </c>
      <c r="E1108" s="1" t="s">
        <v>17</v>
      </c>
      <c r="F1108" s="1" t="s">
        <v>1240</v>
      </c>
      <c r="G1108" s="1" t="s">
        <v>31</v>
      </c>
      <c r="H1108" s="1">
        <v>3</v>
      </c>
      <c r="I1108" s="1">
        <f>Table1[[#This Row],[Units_Sold]]*Table1[[#This Row],[Unit_Price]]</f>
        <v>75.570000000000007</v>
      </c>
      <c r="J1108" s="1">
        <v>25.19</v>
      </c>
      <c r="K1108" s="1">
        <v>20</v>
      </c>
      <c r="L1108" s="1">
        <v>60.46</v>
      </c>
      <c r="M1108" s="1">
        <v>13.53</v>
      </c>
      <c r="N1108" s="1">
        <v>20</v>
      </c>
      <c r="O1108" s="1" t="s">
        <v>19</v>
      </c>
      <c r="P1108" s="1" t="s">
        <v>27</v>
      </c>
    </row>
    <row r="1109" spans="1:16" x14ac:dyDescent="0.3">
      <c r="A1109" s="1">
        <v>100040</v>
      </c>
      <c r="B1109" s="2">
        <v>45285</v>
      </c>
      <c r="C1109" s="1" t="s">
        <v>1145</v>
      </c>
      <c r="D1109" s="1" t="s">
        <v>16</v>
      </c>
      <c r="E1109" s="1" t="s">
        <v>17</v>
      </c>
      <c r="F1109" s="1" t="s">
        <v>1239</v>
      </c>
      <c r="G1109" s="1" t="s">
        <v>18</v>
      </c>
      <c r="H1109" s="1">
        <v>3</v>
      </c>
      <c r="I1109" s="1">
        <f>Table1[[#This Row],[Units_Sold]]*Table1[[#This Row],[Unit_Price]]</f>
        <v>164.49</v>
      </c>
      <c r="J1109" s="1">
        <v>54.83</v>
      </c>
      <c r="K1109" s="1">
        <v>0</v>
      </c>
      <c r="L1109" s="1">
        <v>164.49</v>
      </c>
      <c r="M1109" s="1">
        <v>40.78</v>
      </c>
      <c r="N1109" s="1">
        <v>26</v>
      </c>
      <c r="O1109" s="1" t="s">
        <v>19</v>
      </c>
      <c r="P1109" s="1" t="s">
        <v>32</v>
      </c>
    </row>
    <row r="1110" spans="1:16" x14ac:dyDescent="0.3">
      <c r="A1110" s="1">
        <v>101017</v>
      </c>
      <c r="B1110" s="2">
        <v>45013</v>
      </c>
      <c r="C1110" s="1" t="s">
        <v>1146</v>
      </c>
      <c r="D1110" s="1" t="s">
        <v>16</v>
      </c>
      <c r="E1110" s="1" t="s">
        <v>17</v>
      </c>
      <c r="F1110" s="1" t="s">
        <v>1238</v>
      </c>
      <c r="G1110" s="1" t="s">
        <v>48</v>
      </c>
      <c r="H1110" s="1">
        <v>2</v>
      </c>
      <c r="I1110" s="1">
        <f>Table1[[#This Row],[Units_Sold]]*Table1[[#This Row],[Unit_Price]]</f>
        <v>106.28</v>
      </c>
      <c r="J1110" s="1">
        <v>53.14</v>
      </c>
      <c r="K1110" s="1">
        <v>0</v>
      </c>
      <c r="L1110" s="1">
        <v>106.28</v>
      </c>
      <c r="M1110" s="1">
        <v>21.38</v>
      </c>
      <c r="N1110" s="1">
        <v>36</v>
      </c>
      <c r="O1110" s="1" t="s">
        <v>19</v>
      </c>
      <c r="P1110" s="1" t="s">
        <v>32</v>
      </c>
    </row>
    <row r="1111" spans="1:16" x14ac:dyDescent="0.3">
      <c r="A1111" s="1">
        <v>100230</v>
      </c>
      <c r="B1111" s="2">
        <v>45467</v>
      </c>
      <c r="C1111" s="1" t="s">
        <v>1147</v>
      </c>
      <c r="D1111" s="1" t="s">
        <v>59</v>
      </c>
      <c r="E1111" s="1" t="s">
        <v>17</v>
      </c>
      <c r="F1111" s="1" t="s">
        <v>1237</v>
      </c>
      <c r="G1111" s="1" t="s">
        <v>18</v>
      </c>
      <c r="H1111" s="1">
        <v>2</v>
      </c>
      <c r="I1111" s="1">
        <f>Table1[[#This Row],[Units_Sold]]*Table1[[#This Row],[Unit_Price]]</f>
        <v>58.58</v>
      </c>
      <c r="J1111" s="1">
        <v>29.29</v>
      </c>
      <c r="K1111" s="1">
        <v>10</v>
      </c>
      <c r="L1111" s="1">
        <v>52.72</v>
      </c>
      <c r="M1111" s="1">
        <v>18.71</v>
      </c>
      <c r="N1111" s="1">
        <v>23</v>
      </c>
      <c r="O1111" s="1" t="s">
        <v>26</v>
      </c>
      <c r="P1111" s="1" t="s">
        <v>51</v>
      </c>
    </row>
    <row r="1112" spans="1:16" x14ac:dyDescent="0.3">
      <c r="A1112" s="1">
        <v>100378</v>
      </c>
      <c r="B1112" s="2">
        <v>45209</v>
      </c>
      <c r="C1112" s="1" t="s">
        <v>1148</v>
      </c>
      <c r="D1112" s="1" t="s">
        <v>62</v>
      </c>
      <c r="E1112" s="1" t="s">
        <v>17</v>
      </c>
      <c r="F1112" s="1" t="s">
        <v>1237</v>
      </c>
      <c r="G1112" s="1" t="s">
        <v>31</v>
      </c>
      <c r="H1112" s="1">
        <v>4</v>
      </c>
      <c r="I1112" s="1">
        <f>Table1[[#This Row],[Units_Sold]]*Table1[[#This Row],[Unit_Price]]</f>
        <v>515.28</v>
      </c>
      <c r="J1112" s="1">
        <v>128.82</v>
      </c>
      <c r="K1112" s="1">
        <v>10</v>
      </c>
      <c r="L1112" s="1">
        <v>463.75</v>
      </c>
      <c r="M1112" s="1">
        <v>108.61</v>
      </c>
      <c r="N1112" s="1">
        <v>27</v>
      </c>
      <c r="O1112" s="1" t="s">
        <v>26</v>
      </c>
      <c r="P1112" s="1" t="s">
        <v>43</v>
      </c>
    </row>
    <row r="1113" spans="1:16" x14ac:dyDescent="0.3">
      <c r="A1113" s="1">
        <v>100288</v>
      </c>
      <c r="B1113" s="2">
        <v>45212</v>
      </c>
      <c r="C1113" s="1" t="s">
        <v>1149</v>
      </c>
      <c r="D1113" s="1" t="s">
        <v>24</v>
      </c>
      <c r="E1113" s="1" t="s">
        <v>25</v>
      </c>
      <c r="F1113" s="1" t="s">
        <v>1237</v>
      </c>
      <c r="G1113" s="1" t="s">
        <v>31</v>
      </c>
      <c r="H1113" s="1">
        <v>4</v>
      </c>
      <c r="I1113" s="1">
        <f>Table1[[#This Row],[Units_Sold]]*Table1[[#This Row],[Unit_Price]]</f>
        <v>385.76</v>
      </c>
      <c r="J1113" s="1">
        <v>96.44</v>
      </c>
      <c r="K1113" s="1">
        <v>0</v>
      </c>
      <c r="L1113" s="1">
        <v>385.76</v>
      </c>
      <c r="M1113" s="1">
        <v>126.85</v>
      </c>
      <c r="N1113" s="1">
        <v>39</v>
      </c>
      <c r="O1113" s="1" t="s">
        <v>26</v>
      </c>
      <c r="P1113" s="1" t="s">
        <v>51</v>
      </c>
    </row>
    <row r="1114" spans="1:16" x14ac:dyDescent="0.3">
      <c r="A1114" s="1">
        <v>100418</v>
      </c>
      <c r="B1114" s="2">
        <v>45860</v>
      </c>
      <c r="C1114" s="1" t="s">
        <v>1150</v>
      </c>
      <c r="D1114" s="1" t="s">
        <v>77</v>
      </c>
      <c r="E1114" s="1" t="s">
        <v>30</v>
      </c>
      <c r="F1114" s="1" t="s">
        <v>1237</v>
      </c>
      <c r="G1114" s="1" t="s">
        <v>18</v>
      </c>
      <c r="H1114" s="1">
        <v>2</v>
      </c>
      <c r="I1114" s="1">
        <f>Table1[[#This Row],[Units_Sold]]*Table1[[#This Row],[Unit_Price]]</f>
        <v>85.64</v>
      </c>
      <c r="J1114" s="1">
        <v>42.82</v>
      </c>
      <c r="K1114" s="1">
        <v>5</v>
      </c>
      <c r="L1114" s="1">
        <v>81.36</v>
      </c>
      <c r="M1114" s="1">
        <v>24.27</v>
      </c>
      <c r="N1114" s="1">
        <v>26</v>
      </c>
      <c r="O1114" s="1" t="s">
        <v>19</v>
      </c>
      <c r="P1114" s="1" t="s">
        <v>43</v>
      </c>
    </row>
    <row r="1115" spans="1:16" x14ac:dyDescent="0.3">
      <c r="A1115" s="1">
        <v>100391</v>
      </c>
      <c r="B1115" s="2">
        <v>45210</v>
      </c>
      <c r="C1115" s="1" t="s">
        <v>1151</v>
      </c>
      <c r="D1115" s="1" t="s">
        <v>66</v>
      </c>
      <c r="E1115" s="1" t="s">
        <v>17</v>
      </c>
      <c r="F1115" s="1" t="s">
        <v>1241</v>
      </c>
      <c r="G1115" s="1" t="s">
        <v>31</v>
      </c>
      <c r="H1115" s="1">
        <v>3</v>
      </c>
      <c r="I1115" s="1">
        <f>Table1[[#This Row],[Units_Sold]]*Table1[[#This Row],[Unit_Price]]</f>
        <v>353.96999999999997</v>
      </c>
      <c r="J1115" s="1">
        <v>117.99</v>
      </c>
      <c r="K1115" s="1">
        <v>0</v>
      </c>
      <c r="L1115" s="1">
        <v>353.97</v>
      </c>
      <c r="M1115" s="1">
        <v>89.49</v>
      </c>
      <c r="N1115" s="1">
        <v>41</v>
      </c>
      <c r="O1115" s="1" t="s">
        <v>19</v>
      </c>
      <c r="P1115" s="1" t="s">
        <v>20</v>
      </c>
    </row>
    <row r="1116" spans="1:16" x14ac:dyDescent="0.3">
      <c r="A1116" s="1">
        <v>100592</v>
      </c>
      <c r="B1116" s="2">
        <v>44971</v>
      </c>
      <c r="C1116" s="1" t="s">
        <v>1152</v>
      </c>
      <c r="D1116" s="1" t="s">
        <v>42</v>
      </c>
      <c r="E1116" s="1" t="s">
        <v>25</v>
      </c>
      <c r="F1116" s="1" t="s">
        <v>1237</v>
      </c>
      <c r="G1116" s="1" t="s">
        <v>31</v>
      </c>
      <c r="H1116" s="1">
        <v>2</v>
      </c>
      <c r="I1116" s="1">
        <f>Table1[[#This Row],[Units_Sold]]*Table1[[#This Row],[Unit_Price]]</f>
        <v>290.44</v>
      </c>
      <c r="J1116" s="1">
        <v>145.22</v>
      </c>
      <c r="K1116" s="1">
        <v>0</v>
      </c>
      <c r="L1116" s="1">
        <v>290.44</v>
      </c>
      <c r="M1116" s="1">
        <v>61.69</v>
      </c>
      <c r="N1116" s="1">
        <v>29</v>
      </c>
      <c r="O1116" s="1" t="s">
        <v>26</v>
      </c>
      <c r="P1116" s="1" t="s">
        <v>35</v>
      </c>
    </row>
    <row r="1117" spans="1:16" x14ac:dyDescent="0.3">
      <c r="A1117" s="1">
        <v>101086</v>
      </c>
      <c r="B1117" s="2">
        <v>45415</v>
      </c>
      <c r="C1117" s="1" t="s">
        <v>1153</v>
      </c>
      <c r="D1117" s="1" t="s">
        <v>77</v>
      </c>
      <c r="E1117" s="1" t="s">
        <v>30</v>
      </c>
      <c r="F1117" s="1" t="s">
        <v>1241</v>
      </c>
      <c r="G1117" s="1" t="s">
        <v>18</v>
      </c>
      <c r="H1117" s="1">
        <v>5</v>
      </c>
      <c r="I1117" s="1">
        <f>Table1[[#This Row],[Units_Sold]]*Table1[[#This Row],[Unit_Price]]</f>
        <v>208.15</v>
      </c>
      <c r="J1117" s="1">
        <v>41.63</v>
      </c>
      <c r="K1117" s="1">
        <v>0</v>
      </c>
      <c r="L1117" s="1">
        <v>208.15</v>
      </c>
      <c r="M1117" s="1">
        <v>59.23</v>
      </c>
      <c r="N1117" s="1">
        <v>45</v>
      </c>
      <c r="O1117" s="1" t="s">
        <v>19</v>
      </c>
      <c r="P1117" s="1" t="s">
        <v>27</v>
      </c>
    </row>
    <row r="1118" spans="1:16" x14ac:dyDescent="0.3">
      <c r="A1118" s="1">
        <v>100647</v>
      </c>
      <c r="B1118" s="2">
        <v>45728</v>
      </c>
      <c r="C1118" s="1" t="s">
        <v>1154</v>
      </c>
      <c r="D1118" s="1" t="s">
        <v>37</v>
      </c>
      <c r="E1118" s="1" t="s">
        <v>17</v>
      </c>
      <c r="F1118" s="1" t="s">
        <v>1237</v>
      </c>
      <c r="G1118" s="1" t="s">
        <v>48</v>
      </c>
      <c r="H1118" s="1">
        <v>1</v>
      </c>
      <c r="I1118" s="1">
        <f>Table1[[#This Row],[Units_Sold]]*Table1[[#This Row],[Unit_Price]]</f>
        <v>70.05</v>
      </c>
      <c r="J1118" s="1">
        <v>70.05</v>
      </c>
      <c r="K1118" s="1">
        <v>5</v>
      </c>
      <c r="L1118" s="1">
        <v>66.55</v>
      </c>
      <c r="M1118" s="1">
        <v>25.41</v>
      </c>
      <c r="N1118" s="1">
        <v>45</v>
      </c>
      <c r="O1118" s="1" t="s">
        <v>26</v>
      </c>
      <c r="P1118" s="1" t="s">
        <v>27</v>
      </c>
    </row>
    <row r="1119" spans="1:16" x14ac:dyDescent="0.3">
      <c r="A1119" s="1">
        <v>100520</v>
      </c>
      <c r="B1119" s="2">
        <v>45559</v>
      </c>
      <c r="C1119" s="1" t="s">
        <v>1155</v>
      </c>
      <c r="D1119" s="1" t="s">
        <v>68</v>
      </c>
      <c r="E1119" s="1" t="s">
        <v>25</v>
      </c>
      <c r="F1119" s="1" t="s">
        <v>1240</v>
      </c>
      <c r="G1119" s="1" t="s">
        <v>18</v>
      </c>
      <c r="H1119" s="1">
        <v>2</v>
      </c>
      <c r="I1119" s="1">
        <f>Table1[[#This Row],[Units_Sold]]*Table1[[#This Row],[Unit_Price]]</f>
        <v>418.44</v>
      </c>
      <c r="J1119" s="1">
        <v>209.22</v>
      </c>
      <c r="K1119" s="1">
        <v>10</v>
      </c>
      <c r="L1119" s="1">
        <v>376.6</v>
      </c>
      <c r="M1119" s="1">
        <v>132.79</v>
      </c>
      <c r="N1119" s="1">
        <v>26</v>
      </c>
      <c r="O1119" s="1" t="s">
        <v>26</v>
      </c>
      <c r="P1119" s="1" t="s">
        <v>20</v>
      </c>
    </row>
    <row r="1120" spans="1:16" x14ac:dyDescent="0.3">
      <c r="A1120" s="1">
        <v>100064</v>
      </c>
      <c r="B1120" s="2">
        <v>45037</v>
      </c>
      <c r="C1120" s="1" t="s">
        <v>1156</v>
      </c>
      <c r="D1120" s="1" t="s">
        <v>77</v>
      </c>
      <c r="E1120" s="1" t="s">
        <v>30</v>
      </c>
      <c r="F1120" s="1" t="s">
        <v>1238</v>
      </c>
      <c r="G1120" s="1" t="s">
        <v>31</v>
      </c>
      <c r="H1120" s="1">
        <v>1</v>
      </c>
      <c r="I1120" s="1">
        <f>Table1[[#This Row],[Units_Sold]]*Table1[[#This Row],[Unit_Price]]</f>
        <v>38.49</v>
      </c>
      <c r="J1120" s="1">
        <v>38.49</v>
      </c>
      <c r="K1120" s="1">
        <v>10</v>
      </c>
      <c r="L1120" s="1">
        <v>34.64</v>
      </c>
      <c r="M1120" s="1">
        <v>11.99</v>
      </c>
      <c r="N1120" s="1">
        <v>39</v>
      </c>
      <c r="O1120" s="1" t="s">
        <v>19</v>
      </c>
      <c r="P1120" s="1" t="s">
        <v>32</v>
      </c>
    </row>
    <row r="1121" spans="1:16" x14ac:dyDescent="0.3">
      <c r="A1121" s="1">
        <v>100014</v>
      </c>
      <c r="B1121" s="2">
        <v>45479</v>
      </c>
      <c r="C1121" s="1" t="s">
        <v>1157</v>
      </c>
      <c r="D1121" s="1" t="s">
        <v>56</v>
      </c>
      <c r="E1121" s="1" t="s">
        <v>30</v>
      </c>
      <c r="F1121" s="1" t="s">
        <v>1237</v>
      </c>
      <c r="G1121" s="1" t="s">
        <v>31</v>
      </c>
      <c r="H1121" s="1">
        <v>3</v>
      </c>
      <c r="I1121" s="1">
        <f>Table1[[#This Row],[Units_Sold]]*Table1[[#This Row],[Unit_Price]]</f>
        <v>151.14000000000001</v>
      </c>
      <c r="J1121" s="1">
        <v>50.38</v>
      </c>
      <c r="K1121" s="1">
        <v>0</v>
      </c>
      <c r="L1121" s="1">
        <v>151.13999999999999</v>
      </c>
      <c r="M1121" s="1">
        <v>53.45</v>
      </c>
      <c r="N1121" s="1">
        <v>30</v>
      </c>
      <c r="O1121" s="1" t="s">
        <v>26</v>
      </c>
      <c r="P1121" s="1" t="s">
        <v>43</v>
      </c>
    </row>
    <row r="1122" spans="1:16" x14ac:dyDescent="0.3">
      <c r="A1122" s="1">
        <v>101064</v>
      </c>
      <c r="B1122" s="2">
        <v>45841</v>
      </c>
      <c r="C1122" s="1" t="s">
        <v>1158</v>
      </c>
      <c r="D1122" s="1" t="s">
        <v>16</v>
      </c>
      <c r="E1122" s="1" t="s">
        <v>17</v>
      </c>
      <c r="F1122" s="1" t="s">
        <v>1241</v>
      </c>
      <c r="G1122" s="1" t="s">
        <v>48</v>
      </c>
      <c r="H1122" s="1">
        <v>2</v>
      </c>
      <c r="I1122" s="1">
        <f>Table1[[#This Row],[Units_Sold]]*Table1[[#This Row],[Unit_Price]]</f>
        <v>108.14</v>
      </c>
      <c r="J1122" s="1">
        <v>54.07</v>
      </c>
      <c r="K1122" s="1">
        <v>0</v>
      </c>
      <c r="L1122" s="1">
        <v>108.14</v>
      </c>
      <c r="M1122" s="1">
        <v>39.520000000000003</v>
      </c>
      <c r="N1122" s="1">
        <v>20</v>
      </c>
      <c r="O1122" s="1" t="s">
        <v>26</v>
      </c>
      <c r="P1122" s="1" t="s">
        <v>46</v>
      </c>
    </row>
    <row r="1123" spans="1:16" x14ac:dyDescent="0.3">
      <c r="A1123" s="1">
        <v>100492</v>
      </c>
      <c r="B1123" s="2">
        <v>45729</v>
      </c>
      <c r="C1123" s="1" t="s">
        <v>1159</v>
      </c>
      <c r="D1123" s="1" t="s">
        <v>100</v>
      </c>
      <c r="E1123" s="1" t="s">
        <v>25</v>
      </c>
      <c r="F1123" s="1" t="s">
        <v>1237</v>
      </c>
      <c r="G1123" s="1" t="s">
        <v>31</v>
      </c>
      <c r="H1123" s="1">
        <v>3</v>
      </c>
      <c r="I1123" s="1">
        <f>Table1[[#This Row],[Units_Sold]]*Table1[[#This Row],[Unit_Price]]</f>
        <v>367.53000000000003</v>
      </c>
      <c r="J1123" s="1">
        <v>122.51</v>
      </c>
      <c r="K1123" s="1">
        <v>0</v>
      </c>
      <c r="L1123" s="1">
        <v>367.53</v>
      </c>
      <c r="M1123" s="1">
        <v>119.98</v>
      </c>
      <c r="N1123" s="1">
        <v>31</v>
      </c>
      <c r="O1123" s="1" t="s">
        <v>19</v>
      </c>
      <c r="P1123" s="1" t="s">
        <v>43</v>
      </c>
    </row>
    <row r="1124" spans="1:16" x14ac:dyDescent="0.3">
      <c r="A1124" s="1">
        <v>100379</v>
      </c>
      <c r="B1124" s="2">
        <v>45690</v>
      </c>
      <c r="C1124" s="1" t="s">
        <v>1160</v>
      </c>
      <c r="D1124" s="1" t="s">
        <v>53</v>
      </c>
      <c r="E1124" s="1" t="s">
        <v>30</v>
      </c>
      <c r="F1124" s="1" t="s">
        <v>1239</v>
      </c>
      <c r="G1124" s="1" t="s">
        <v>18</v>
      </c>
      <c r="H1124" s="1">
        <v>2</v>
      </c>
      <c r="I1124" s="1">
        <f>Table1[[#This Row],[Units_Sold]]*Table1[[#This Row],[Unit_Price]]</f>
        <v>46.22</v>
      </c>
      <c r="J1124" s="1">
        <v>23.11</v>
      </c>
      <c r="K1124" s="1">
        <v>0</v>
      </c>
      <c r="L1124" s="1">
        <v>46.22</v>
      </c>
      <c r="M1124" s="1">
        <v>15.51</v>
      </c>
      <c r="N1124" s="1">
        <v>30</v>
      </c>
      <c r="O1124" s="1" t="s">
        <v>19</v>
      </c>
      <c r="P1124" s="1" t="s">
        <v>20</v>
      </c>
    </row>
    <row r="1125" spans="1:16" x14ac:dyDescent="0.3">
      <c r="A1125" s="1">
        <v>100187</v>
      </c>
      <c r="B1125" s="2">
        <v>45490</v>
      </c>
      <c r="C1125" s="1" t="s">
        <v>1161</v>
      </c>
      <c r="D1125" s="1" t="s">
        <v>45</v>
      </c>
      <c r="E1125" s="1" t="s">
        <v>30</v>
      </c>
      <c r="F1125" s="1" t="s">
        <v>1241</v>
      </c>
      <c r="G1125" s="1" t="s">
        <v>18</v>
      </c>
      <c r="H1125" s="1">
        <v>3</v>
      </c>
      <c r="I1125" s="1">
        <f>Table1[[#This Row],[Units_Sold]]*Table1[[#This Row],[Unit_Price]]</f>
        <v>44.82</v>
      </c>
      <c r="J1125" s="1">
        <v>14.94</v>
      </c>
      <c r="K1125" s="1">
        <v>5</v>
      </c>
      <c r="L1125" s="1">
        <v>42.58</v>
      </c>
      <c r="M1125" s="1">
        <v>21.21</v>
      </c>
      <c r="N1125" s="1">
        <v>29</v>
      </c>
      <c r="O1125" s="1" t="s">
        <v>19</v>
      </c>
      <c r="P1125" s="1" t="s">
        <v>35</v>
      </c>
    </row>
    <row r="1126" spans="1:16" x14ac:dyDescent="0.3">
      <c r="A1126" s="1">
        <v>100763</v>
      </c>
      <c r="B1126" s="2">
        <v>45359</v>
      </c>
      <c r="C1126" s="1" t="s">
        <v>1162</v>
      </c>
      <c r="D1126" s="1" t="s">
        <v>70</v>
      </c>
      <c r="E1126" s="1" t="s">
        <v>25</v>
      </c>
      <c r="F1126" s="1" t="s">
        <v>1241</v>
      </c>
      <c r="G1126" s="1" t="s">
        <v>18</v>
      </c>
      <c r="H1126" s="1">
        <v>1</v>
      </c>
      <c r="I1126" s="1">
        <f>Table1[[#This Row],[Units_Sold]]*Table1[[#This Row],[Unit_Price]]</f>
        <v>150.6</v>
      </c>
      <c r="J1126" s="1">
        <v>150.6</v>
      </c>
      <c r="K1126" s="1">
        <v>20</v>
      </c>
      <c r="L1126" s="1">
        <v>120.48</v>
      </c>
      <c r="M1126" s="1">
        <v>44.04</v>
      </c>
      <c r="N1126" s="1">
        <v>28</v>
      </c>
      <c r="O1126" s="1" t="s">
        <v>19</v>
      </c>
      <c r="P1126" s="1" t="s">
        <v>20</v>
      </c>
    </row>
    <row r="1127" spans="1:16" x14ac:dyDescent="0.3">
      <c r="A1127" s="1">
        <v>100216</v>
      </c>
      <c r="B1127" s="2">
        <v>45873</v>
      </c>
      <c r="C1127" s="1" t="s">
        <v>1163</v>
      </c>
      <c r="D1127" s="1" t="s">
        <v>29</v>
      </c>
      <c r="E1127" s="1" t="s">
        <v>30</v>
      </c>
      <c r="F1127" s="1" t="s">
        <v>1237</v>
      </c>
      <c r="G1127" s="1" t="s">
        <v>18</v>
      </c>
      <c r="H1127" s="1">
        <v>4</v>
      </c>
      <c r="I1127" s="1">
        <f>Table1[[#This Row],[Units_Sold]]*Table1[[#This Row],[Unit_Price]]</f>
        <v>75.44</v>
      </c>
      <c r="J1127" s="1">
        <v>18.86</v>
      </c>
      <c r="K1127" s="1">
        <v>0</v>
      </c>
      <c r="L1127" s="1">
        <v>75.44</v>
      </c>
      <c r="M1127" s="1">
        <v>28.6</v>
      </c>
      <c r="N1127" s="1">
        <v>28</v>
      </c>
      <c r="O1127" s="1" t="s">
        <v>19</v>
      </c>
      <c r="P1127" s="1" t="s">
        <v>20</v>
      </c>
    </row>
    <row r="1128" spans="1:16" x14ac:dyDescent="0.3">
      <c r="A1128" s="1">
        <v>100791</v>
      </c>
      <c r="B1128" s="2">
        <v>45851</v>
      </c>
      <c r="C1128" s="1" t="s">
        <v>1164</v>
      </c>
      <c r="D1128" s="1" t="s">
        <v>22</v>
      </c>
      <c r="E1128" s="1" t="s">
        <v>17</v>
      </c>
      <c r="F1128" s="1" t="s">
        <v>1237</v>
      </c>
      <c r="G1128" s="1" t="s">
        <v>18</v>
      </c>
      <c r="H1128" s="1">
        <v>4</v>
      </c>
      <c r="I1128" s="1">
        <f>Table1[[#This Row],[Units_Sold]]*Table1[[#This Row],[Unit_Price]]</f>
        <v>106.76</v>
      </c>
      <c r="J1128" s="1">
        <v>26.69</v>
      </c>
      <c r="K1128" s="1">
        <v>0</v>
      </c>
      <c r="L1128" s="1">
        <v>106.76</v>
      </c>
      <c r="M1128" s="1">
        <v>21.1</v>
      </c>
      <c r="N1128" s="1">
        <v>34</v>
      </c>
      <c r="O1128" s="1" t="s">
        <v>26</v>
      </c>
      <c r="P1128" s="1" t="s">
        <v>35</v>
      </c>
    </row>
    <row r="1129" spans="1:16" x14ac:dyDescent="0.3">
      <c r="A1129" s="1">
        <v>101076</v>
      </c>
      <c r="B1129" s="2">
        <v>45220</v>
      </c>
      <c r="C1129" s="1" t="s">
        <v>1165</v>
      </c>
      <c r="D1129" s="1" t="s">
        <v>87</v>
      </c>
      <c r="E1129" s="1" t="s">
        <v>25</v>
      </c>
      <c r="F1129" s="1" t="s">
        <v>1239</v>
      </c>
      <c r="G1129" s="1" t="s">
        <v>18</v>
      </c>
      <c r="H1129" s="1">
        <v>4</v>
      </c>
      <c r="I1129" s="1">
        <f>Table1[[#This Row],[Units_Sold]]*Table1[[#This Row],[Unit_Price]]</f>
        <v>340.56</v>
      </c>
      <c r="J1129" s="1">
        <v>85.14</v>
      </c>
      <c r="K1129" s="1">
        <v>20</v>
      </c>
      <c r="L1129" s="1">
        <v>272.45</v>
      </c>
      <c r="M1129" s="1">
        <v>61.77</v>
      </c>
      <c r="N1129" s="1">
        <v>26</v>
      </c>
      <c r="O1129" s="1" t="s">
        <v>19</v>
      </c>
      <c r="P1129" s="1" t="s">
        <v>35</v>
      </c>
    </row>
    <row r="1130" spans="1:16" x14ac:dyDescent="0.3">
      <c r="A1130" s="1">
        <v>100878</v>
      </c>
      <c r="B1130" s="2">
        <v>45369</v>
      </c>
      <c r="C1130" s="1" t="s">
        <v>1166</v>
      </c>
      <c r="D1130" s="1" t="s">
        <v>34</v>
      </c>
      <c r="E1130" s="1" t="s">
        <v>30</v>
      </c>
      <c r="F1130" s="1" t="s">
        <v>1237</v>
      </c>
      <c r="G1130" s="1" t="s">
        <v>31</v>
      </c>
      <c r="H1130" s="1">
        <v>2</v>
      </c>
      <c r="I1130" s="1">
        <f>Table1[[#This Row],[Units_Sold]]*Table1[[#This Row],[Unit_Price]]</f>
        <v>117.18</v>
      </c>
      <c r="J1130" s="1">
        <v>58.59</v>
      </c>
      <c r="K1130" s="1">
        <v>40</v>
      </c>
      <c r="L1130" s="1">
        <v>70.31</v>
      </c>
      <c r="M1130" s="1">
        <v>24.54</v>
      </c>
      <c r="N1130" s="1">
        <v>26</v>
      </c>
      <c r="O1130" s="1" t="s">
        <v>26</v>
      </c>
      <c r="P1130" s="1" t="s">
        <v>81</v>
      </c>
    </row>
    <row r="1131" spans="1:16" x14ac:dyDescent="0.3">
      <c r="A1131" s="1">
        <v>100337</v>
      </c>
      <c r="B1131" s="2">
        <v>45205</v>
      </c>
      <c r="C1131" s="1" t="s">
        <v>1167</v>
      </c>
      <c r="D1131" s="1" t="s">
        <v>37</v>
      </c>
      <c r="E1131" s="1" t="s">
        <v>17</v>
      </c>
      <c r="F1131" s="1" t="s">
        <v>1241</v>
      </c>
      <c r="G1131" s="1" t="s">
        <v>31</v>
      </c>
      <c r="H1131" s="1">
        <v>4</v>
      </c>
      <c r="I1131" s="1">
        <f>Table1[[#This Row],[Units_Sold]]*Table1[[#This Row],[Unit_Price]]</f>
        <v>264.48</v>
      </c>
      <c r="J1131" s="1">
        <v>66.12</v>
      </c>
      <c r="K1131" s="1">
        <v>10</v>
      </c>
      <c r="L1131" s="1">
        <v>238.03</v>
      </c>
      <c r="M1131" s="1">
        <v>45.16</v>
      </c>
      <c r="N1131" s="1">
        <v>36</v>
      </c>
      <c r="O1131" s="1" t="s">
        <v>19</v>
      </c>
      <c r="P1131" s="1" t="s">
        <v>35</v>
      </c>
    </row>
    <row r="1132" spans="1:16" x14ac:dyDescent="0.3">
      <c r="A1132" s="1">
        <v>100719</v>
      </c>
      <c r="B1132" s="2">
        <v>45156</v>
      </c>
      <c r="C1132" s="1" t="s">
        <v>1168</v>
      </c>
      <c r="D1132" s="1" t="s">
        <v>39</v>
      </c>
      <c r="E1132" s="1" t="s">
        <v>25</v>
      </c>
      <c r="F1132" s="1" t="s">
        <v>1241</v>
      </c>
      <c r="G1132" s="1" t="s">
        <v>18</v>
      </c>
      <c r="H1132" s="1">
        <v>3</v>
      </c>
      <c r="I1132" s="1">
        <f>Table1[[#This Row],[Units_Sold]]*Table1[[#This Row],[Unit_Price]]</f>
        <v>478.08000000000004</v>
      </c>
      <c r="J1132" s="1">
        <v>159.36000000000001</v>
      </c>
      <c r="K1132" s="1">
        <v>0</v>
      </c>
      <c r="L1132" s="1">
        <v>478.08</v>
      </c>
      <c r="M1132" s="1">
        <v>135.58000000000001</v>
      </c>
      <c r="N1132" s="1">
        <v>36</v>
      </c>
      <c r="O1132" s="1" t="s">
        <v>19</v>
      </c>
      <c r="P1132" s="1" t="s">
        <v>46</v>
      </c>
    </row>
    <row r="1133" spans="1:16" x14ac:dyDescent="0.3">
      <c r="A1133" s="1">
        <v>100295</v>
      </c>
      <c r="B1133" s="2">
        <v>45098</v>
      </c>
      <c r="C1133" s="1" t="s">
        <v>1169</v>
      </c>
      <c r="D1133" s="1" t="s">
        <v>24</v>
      </c>
      <c r="E1133" s="1" t="s">
        <v>25</v>
      </c>
      <c r="F1133" s="1" t="s">
        <v>1237</v>
      </c>
      <c r="G1133" s="1" t="s">
        <v>18</v>
      </c>
      <c r="H1133" s="1">
        <v>2</v>
      </c>
      <c r="I1133" s="1">
        <f>Table1[[#This Row],[Units_Sold]]*Table1[[#This Row],[Unit_Price]]</f>
        <v>213.84</v>
      </c>
      <c r="J1133" s="1">
        <v>106.92</v>
      </c>
      <c r="K1133" s="1">
        <v>0</v>
      </c>
      <c r="L1133" s="1">
        <v>213.84</v>
      </c>
      <c r="M1133" s="1">
        <v>58.53</v>
      </c>
      <c r="N1133" s="1">
        <v>29</v>
      </c>
      <c r="O1133" s="1" t="s">
        <v>26</v>
      </c>
      <c r="P1133" s="1" t="s">
        <v>51</v>
      </c>
    </row>
    <row r="1134" spans="1:16" x14ac:dyDescent="0.3">
      <c r="A1134" s="1">
        <v>101016</v>
      </c>
      <c r="B1134" s="2">
        <v>45716</v>
      </c>
      <c r="C1134" s="1" t="s">
        <v>1170</v>
      </c>
      <c r="D1134" s="1" t="s">
        <v>66</v>
      </c>
      <c r="E1134" s="1" t="s">
        <v>17</v>
      </c>
      <c r="F1134" s="1" t="s">
        <v>1237</v>
      </c>
      <c r="G1134" s="1" t="s">
        <v>18</v>
      </c>
      <c r="H1134" s="1">
        <v>5</v>
      </c>
      <c r="I1134" s="1">
        <f>Table1[[#This Row],[Units_Sold]]*Table1[[#This Row],[Unit_Price]]</f>
        <v>644.44999999999993</v>
      </c>
      <c r="J1134" s="1">
        <v>128.88999999999999</v>
      </c>
      <c r="K1134" s="1">
        <v>0</v>
      </c>
      <c r="L1134" s="1">
        <v>644.45000000000005</v>
      </c>
      <c r="M1134" s="1">
        <v>176.92</v>
      </c>
      <c r="N1134" s="1">
        <v>18</v>
      </c>
      <c r="O1134" s="1" t="s">
        <v>26</v>
      </c>
      <c r="P1134" s="1" t="s">
        <v>27</v>
      </c>
    </row>
    <row r="1135" spans="1:16" x14ac:dyDescent="0.3">
      <c r="A1135" s="1">
        <v>100455</v>
      </c>
      <c r="B1135" s="2">
        <v>45768</v>
      </c>
      <c r="C1135" s="1" t="s">
        <v>1171</v>
      </c>
      <c r="D1135" s="1" t="s">
        <v>39</v>
      </c>
      <c r="E1135" s="1" t="s">
        <v>25</v>
      </c>
      <c r="F1135" s="1" t="s">
        <v>1238</v>
      </c>
      <c r="G1135" s="1" t="s">
        <v>18</v>
      </c>
      <c r="H1135" s="1">
        <v>2</v>
      </c>
      <c r="I1135" s="1">
        <f>Table1[[#This Row],[Units_Sold]]*Table1[[#This Row],[Unit_Price]]</f>
        <v>393.68</v>
      </c>
      <c r="J1135" s="1">
        <v>196.84</v>
      </c>
      <c r="K1135" s="1">
        <v>5</v>
      </c>
      <c r="L1135" s="1">
        <v>374</v>
      </c>
      <c r="M1135" s="1">
        <v>83.57</v>
      </c>
      <c r="N1135" s="1">
        <v>34</v>
      </c>
      <c r="O1135" s="1" t="s">
        <v>26</v>
      </c>
      <c r="P1135" s="1" t="s">
        <v>20</v>
      </c>
    </row>
    <row r="1136" spans="1:16" x14ac:dyDescent="0.3">
      <c r="A1136" s="1">
        <v>100815</v>
      </c>
      <c r="B1136" s="2">
        <v>44947</v>
      </c>
      <c r="C1136" s="1" t="s">
        <v>1172</v>
      </c>
      <c r="D1136" s="1" t="s">
        <v>29</v>
      </c>
      <c r="E1136" s="1" t="s">
        <v>30</v>
      </c>
      <c r="F1136" s="1" t="s">
        <v>1241</v>
      </c>
      <c r="G1136" s="1" t="s">
        <v>31</v>
      </c>
      <c r="H1136" s="1">
        <v>4</v>
      </c>
      <c r="I1136" s="1">
        <f>Table1[[#This Row],[Units_Sold]]*Table1[[#This Row],[Unit_Price]]</f>
        <v>71.36</v>
      </c>
      <c r="J1136" s="1">
        <v>17.84</v>
      </c>
      <c r="K1136" s="1">
        <v>0</v>
      </c>
      <c r="L1136" s="1">
        <v>71.36</v>
      </c>
      <c r="M1136" s="1">
        <v>26.79</v>
      </c>
      <c r="N1136" s="1">
        <v>34</v>
      </c>
      <c r="O1136" s="1" t="s">
        <v>19</v>
      </c>
      <c r="P1136" s="1" t="s">
        <v>81</v>
      </c>
    </row>
    <row r="1137" spans="1:16" x14ac:dyDescent="0.3">
      <c r="A1137" s="1">
        <v>100269</v>
      </c>
      <c r="B1137" s="2">
        <v>45032</v>
      </c>
      <c r="C1137" s="1" t="s">
        <v>1173</v>
      </c>
      <c r="D1137" s="1" t="s">
        <v>39</v>
      </c>
      <c r="E1137" s="1" t="s">
        <v>25</v>
      </c>
      <c r="F1137" s="1" t="s">
        <v>1237</v>
      </c>
      <c r="G1137" s="1" t="s">
        <v>31</v>
      </c>
      <c r="H1137" s="1">
        <v>4</v>
      </c>
      <c r="I1137" s="1">
        <f>Table1[[#This Row],[Units_Sold]]*Table1[[#This Row],[Unit_Price]]</f>
        <v>823.64</v>
      </c>
      <c r="J1137" s="1">
        <v>205.91</v>
      </c>
      <c r="K1137" s="1">
        <v>10</v>
      </c>
      <c r="L1137" s="1">
        <v>741.28</v>
      </c>
      <c r="M1137" s="1">
        <v>243.02</v>
      </c>
      <c r="N1137" s="1">
        <v>28</v>
      </c>
      <c r="O1137" s="1" t="s">
        <v>19</v>
      </c>
      <c r="P1137" s="1" t="s">
        <v>32</v>
      </c>
    </row>
    <row r="1138" spans="1:16" x14ac:dyDescent="0.3">
      <c r="A1138" s="1">
        <v>100995</v>
      </c>
      <c r="B1138" s="2">
        <v>45236</v>
      </c>
      <c r="C1138" s="1" t="s">
        <v>1174</v>
      </c>
      <c r="D1138" s="1" t="s">
        <v>100</v>
      </c>
      <c r="E1138" s="1" t="s">
        <v>25</v>
      </c>
      <c r="F1138" s="1" t="s">
        <v>1237</v>
      </c>
      <c r="G1138" s="1" t="s">
        <v>18</v>
      </c>
      <c r="H1138" s="1">
        <v>3</v>
      </c>
      <c r="I1138" s="1">
        <f>Table1[[#This Row],[Units_Sold]]*Table1[[#This Row],[Unit_Price]]</f>
        <v>383.13</v>
      </c>
      <c r="J1138" s="1">
        <v>127.71</v>
      </c>
      <c r="K1138" s="1">
        <v>0</v>
      </c>
      <c r="L1138" s="1">
        <v>383.13</v>
      </c>
      <c r="M1138" s="1">
        <v>127.48</v>
      </c>
      <c r="N1138" s="1">
        <v>30</v>
      </c>
      <c r="O1138" s="1" t="s">
        <v>19</v>
      </c>
      <c r="P1138" s="1" t="s">
        <v>27</v>
      </c>
    </row>
    <row r="1139" spans="1:16" x14ac:dyDescent="0.3">
      <c r="A1139" s="1">
        <v>100201</v>
      </c>
      <c r="B1139" s="2">
        <v>45215</v>
      </c>
      <c r="C1139" s="1" t="s">
        <v>1175</v>
      </c>
      <c r="D1139" s="1" t="s">
        <v>53</v>
      </c>
      <c r="E1139" s="1" t="s">
        <v>30</v>
      </c>
      <c r="F1139" s="1" t="s">
        <v>1239</v>
      </c>
      <c r="G1139" s="1" t="s">
        <v>31</v>
      </c>
      <c r="H1139" s="1">
        <v>3</v>
      </c>
      <c r="I1139" s="1">
        <f>Table1[[#This Row],[Units_Sold]]*Table1[[#This Row],[Unit_Price]]</f>
        <v>64.050000000000011</v>
      </c>
      <c r="J1139" s="1">
        <v>21.35</v>
      </c>
      <c r="K1139" s="1">
        <v>0</v>
      </c>
      <c r="L1139" s="1">
        <v>64.05</v>
      </c>
      <c r="M1139" s="1">
        <v>15.96</v>
      </c>
      <c r="N1139" s="1">
        <v>32</v>
      </c>
      <c r="O1139" s="1" t="s">
        <v>26</v>
      </c>
      <c r="P1139" s="1" t="s">
        <v>81</v>
      </c>
    </row>
    <row r="1140" spans="1:16" x14ac:dyDescent="0.3">
      <c r="A1140" s="1">
        <v>100161</v>
      </c>
      <c r="B1140" s="2">
        <v>45243</v>
      </c>
      <c r="C1140" s="1" t="s">
        <v>1176</v>
      </c>
      <c r="D1140" s="1" t="s">
        <v>53</v>
      </c>
      <c r="E1140" s="1" t="s">
        <v>30</v>
      </c>
      <c r="F1140" s="1" t="s">
        <v>1241</v>
      </c>
      <c r="G1140" s="1" t="s">
        <v>31</v>
      </c>
      <c r="H1140" s="1">
        <v>3</v>
      </c>
      <c r="I1140" s="1">
        <f>Table1[[#This Row],[Units_Sold]]*Table1[[#This Row],[Unit_Price]]</f>
        <v>59.79</v>
      </c>
      <c r="J1140" s="1">
        <v>19.93</v>
      </c>
      <c r="K1140" s="1">
        <v>0</v>
      </c>
      <c r="L1140" s="1">
        <v>59.79</v>
      </c>
      <c r="M1140" s="1">
        <v>17.420000000000002</v>
      </c>
      <c r="N1140" s="1">
        <v>35</v>
      </c>
      <c r="O1140" s="1" t="s">
        <v>19</v>
      </c>
      <c r="P1140" s="1" t="s">
        <v>46</v>
      </c>
    </row>
    <row r="1141" spans="1:16" x14ac:dyDescent="0.3">
      <c r="A1141" s="1">
        <v>100729</v>
      </c>
      <c r="B1141" s="2">
        <v>45154</v>
      </c>
      <c r="C1141" s="1" t="s">
        <v>1177</v>
      </c>
      <c r="D1141" s="1" t="s">
        <v>68</v>
      </c>
      <c r="E1141" s="1" t="s">
        <v>25</v>
      </c>
      <c r="F1141" s="1" t="s">
        <v>1241</v>
      </c>
      <c r="G1141" s="1" t="s">
        <v>18</v>
      </c>
      <c r="H1141" s="1">
        <v>2</v>
      </c>
      <c r="I1141" s="1">
        <f>Table1[[#This Row],[Units_Sold]]*Table1[[#This Row],[Unit_Price]]</f>
        <v>453.36</v>
      </c>
      <c r="J1141" s="1">
        <v>226.68</v>
      </c>
      <c r="K1141" s="1">
        <v>0</v>
      </c>
      <c r="L1141" s="1">
        <v>453.36</v>
      </c>
      <c r="M1141" s="1">
        <v>173.84</v>
      </c>
      <c r="N1141" s="1">
        <v>22</v>
      </c>
      <c r="O1141" s="1" t="s">
        <v>26</v>
      </c>
      <c r="P1141" s="1" t="s">
        <v>35</v>
      </c>
    </row>
    <row r="1142" spans="1:16" x14ac:dyDescent="0.3">
      <c r="A1142" s="1">
        <v>100401</v>
      </c>
      <c r="B1142" s="2">
        <v>45731</v>
      </c>
      <c r="C1142" s="1" t="s">
        <v>1178</v>
      </c>
      <c r="D1142" s="1" t="s">
        <v>24</v>
      </c>
      <c r="E1142" s="1" t="s">
        <v>25</v>
      </c>
      <c r="F1142" s="1" t="s">
        <v>1238</v>
      </c>
      <c r="G1142" s="1" t="s">
        <v>18</v>
      </c>
      <c r="H1142" s="1">
        <v>2</v>
      </c>
      <c r="I1142" s="1">
        <f>Table1[[#This Row],[Units_Sold]]*Table1[[#This Row],[Unit_Price]]</f>
        <v>192.92</v>
      </c>
      <c r="J1142" s="1">
        <v>96.46</v>
      </c>
      <c r="K1142" s="1">
        <v>10</v>
      </c>
      <c r="L1142" s="1">
        <v>173.63</v>
      </c>
      <c r="M1142" s="1">
        <v>60.6</v>
      </c>
      <c r="N1142" s="1">
        <v>24</v>
      </c>
      <c r="O1142" s="1" t="s">
        <v>26</v>
      </c>
      <c r="P1142" s="1" t="s">
        <v>46</v>
      </c>
    </row>
    <row r="1143" spans="1:16" x14ac:dyDescent="0.3">
      <c r="A1143" s="1">
        <v>100702</v>
      </c>
      <c r="B1143" s="2">
        <v>45412</v>
      </c>
      <c r="C1143" s="1" t="s">
        <v>1179</v>
      </c>
      <c r="D1143" s="1" t="s">
        <v>59</v>
      </c>
      <c r="E1143" s="1" t="s">
        <v>17</v>
      </c>
      <c r="F1143" s="1" t="s">
        <v>1237</v>
      </c>
      <c r="G1143" s="1" t="s">
        <v>18</v>
      </c>
      <c r="H1143" s="1">
        <v>1</v>
      </c>
      <c r="I1143" s="1">
        <f>Table1[[#This Row],[Units_Sold]]*Table1[[#This Row],[Unit_Price]]</f>
        <v>27.66</v>
      </c>
      <c r="J1143" s="1">
        <v>27.66</v>
      </c>
      <c r="K1143" s="1">
        <v>5</v>
      </c>
      <c r="L1143" s="1">
        <v>26.28</v>
      </c>
      <c r="M1143" s="1">
        <v>9.41</v>
      </c>
      <c r="N1143" s="1">
        <v>18</v>
      </c>
      <c r="O1143" s="1" t="s">
        <v>26</v>
      </c>
      <c r="P1143" s="1" t="s">
        <v>81</v>
      </c>
    </row>
    <row r="1144" spans="1:16" x14ac:dyDescent="0.3">
      <c r="A1144" s="1">
        <v>101129</v>
      </c>
      <c r="B1144" s="2">
        <v>45871</v>
      </c>
      <c r="C1144" s="1" t="s">
        <v>1180</v>
      </c>
      <c r="D1144" s="1" t="s">
        <v>73</v>
      </c>
      <c r="E1144" s="1" t="s">
        <v>25</v>
      </c>
      <c r="F1144" s="1" t="s">
        <v>1241</v>
      </c>
      <c r="G1144" s="1" t="s">
        <v>48</v>
      </c>
      <c r="H1144" s="1">
        <v>3</v>
      </c>
      <c r="I1144" s="1">
        <f>Table1[[#This Row],[Units_Sold]]*Table1[[#This Row],[Unit_Price]]</f>
        <v>101.52000000000001</v>
      </c>
      <c r="J1144" s="1">
        <v>33.840000000000003</v>
      </c>
      <c r="K1144" s="1">
        <v>40</v>
      </c>
      <c r="L1144" s="1">
        <v>60.91</v>
      </c>
      <c r="M1144" s="1">
        <v>19.8</v>
      </c>
      <c r="N1144" s="1">
        <v>22</v>
      </c>
      <c r="O1144" s="1" t="s">
        <v>19</v>
      </c>
      <c r="P1144" s="1" t="s">
        <v>32</v>
      </c>
    </row>
    <row r="1145" spans="1:16" x14ac:dyDescent="0.3">
      <c r="A1145" s="1">
        <v>100565</v>
      </c>
      <c r="B1145" s="2">
        <v>45301</v>
      </c>
      <c r="C1145" s="1" t="s">
        <v>1181</v>
      </c>
      <c r="D1145" s="1" t="s">
        <v>59</v>
      </c>
      <c r="E1145" s="1" t="s">
        <v>17</v>
      </c>
      <c r="F1145" s="1" t="s">
        <v>1238</v>
      </c>
      <c r="G1145" s="1" t="s">
        <v>31</v>
      </c>
      <c r="H1145" s="1">
        <v>3</v>
      </c>
      <c r="I1145" s="1">
        <f>Table1[[#This Row],[Units_Sold]]*Table1[[#This Row],[Unit_Price]]</f>
        <v>93.33</v>
      </c>
      <c r="J1145" s="1">
        <v>31.11</v>
      </c>
      <c r="K1145" s="1">
        <v>20</v>
      </c>
      <c r="L1145" s="1">
        <v>74.66</v>
      </c>
      <c r="M1145" s="1">
        <v>21.76</v>
      </c>
      <c r="N1145" s="1">
        <v>33</v>
      </c>
      <c r="O1145" s="1" t="s">
        <v>19</v>
      </c>
      <c r="P1145" s="1" t="s">
        <v>35</v>
      </c>
    </row>
    <row r="1146" spans="1:16" x14ac:dyDescent="0.3">
      <c r="A1146" s="1">
        <v>101021</v>
      </c>
      <c r="B1146" s="2">
        <v>45434</v>
      </c>
      <c r="C1146" s="1" t="s">
        <v>1182</v>
      </c>
      <c r="D1146" s="1" t="s">
        <v>62</v>
      </c>
      <c r="E1146" s="1" t="s">
        <v>17</v>
      </c>
      <c r="F1146" s="1" t="s">
        <v>1240</v>
      </c>
      <c r="G1146" s="1" t="s">
        <v>18</v>
      </c>
      <c r="H1146" s="1">
        <v>2</v>
      </c>
      <c r="I1146" s="1">
        <f>Table1[[#This Row],[Units_Sold]]*Table1[[#This Row],[Unit_Price]]</f>
        <v>248.48</v>
      </c>
      <c r="J1146" s="1">
        <v>124.24</v>
      </c>
      <c r="K1146" s="1">
        <v>20</v>
      </c>
      <c r="L1146" s="1">
        <v>198.78</v>
      </c>
      <c r="M1146" s="1">
        <v>75.989999999999995</v>
      </c>
      <c r="N1146" s="1">
        <v>21</v>
      </c>
      <c r="O1146" s="1" t="s">
        <v>19</v>
      </c>
      <c r="P1146" s="1" t="s">
        <v>27</v>
      </c>
    </row>
    <row r="1147" spans="1:16" x14ac:dyDescent="0.3">
      <c r="A1147" s="1">
        <v>101025</v>
      </c>
      <c r="B1147" s="2">
        <v>45129</v>
      </c>
      <c r="C1147" s="1" t="s">
        <v>1183</v>
      </c>
      <c r="D1147" s="1" t="s">
        <v>24</v>
      </c>
      <c r="E1147" s="1" t="s">
        <v>25</v>
      </c>
      <c r="F1147" s="1" t="s">
        <v>1239</v>
      </c>
      <c r="G1147" s="1" t="s">
        <v>18</v>
      </c>
      <c r="H1147" s="1">
        <v>2</v>
      </c>
      <c r="I1147" s="1">
        <f>Table1[[#This Row],[Units_Sold]]*Table1[[#This Row],[Unit_Price]]</f>
        <v>195.8</v>
      </c>
      <c r="J1147" s="1">
        <v>97.9</v>
      </c>
      <c r="K1147" s="1">
        <v>0</v>
      </c>
      <c r="L1147" s="1">
        <v>195.8</v>
      </c>
      <c r="M1147" s="1">
        <v>57.08</v>
      </c>
      <c r="N1147" s="1">
        <v>43</v>
      </c>
      <c r="O1147" s="1" t="s">
        <v>19</v>
      </c>
      <c r="P1147" s="1" t="s">
        <v>81</v>
      </c>
    </row>
    <row r="1148" spans="1:16" x14ac:dyDescent="0.3">
      <c r="A1148" s="1">
        <v>101104</v>
      </c>
      <c r="B1148" s="2">
        <v>44941</v>
      </c>
      <c r="C1148" s="1" t="s">
        <v>1184</v>
      </c>
      <c r="D1148" s="1" t="s">
        <v>68</v>
      </c>
      <c r="E1148" s="1" t="s">
        <v>25</v>
      </c>
      <c r="F1148" s="1" t="s">
        <v>1240</v>
      </c>
      <c r="G1148" s="1" t="s">
        <v>31</v>
      </c>
      <c r="H1148" s="1">
        <v>3</v>
      </c>
      <c r="I1148" s="1">
        <f>Table1[[#This Row],[Units_Sold]]*Table1[[#This Row],[Unit_Price]]</f>
        <v>652.47</v>
      </c>
      <c r="J1148" s="1">
        <v>217.49</v>
      </c>
      <c r="K1148" s="1">
        <v>0</v>
      </c>
      <c r="L1148" s="1">
        <v>652.47</v>
      </c>
      <c r="M1148" s="1">
        <v>140.63999999999999</v>
      </c>
      <c r="N1148" s="1">
        <v>18</v>
      </c>
      <c r="O1148" s="1" t="s">
        <v>26</v>
      </c>
      <c r="P1148" s="1" t="s">
        <v>32</v>
      </c>
    </row>
    <row r="1149" spans="1:16" x14ac:dyDescent="0.3">
      <c r="A1149" s="1">
        <v>100205</v>
      </c>
      <c r="B1149" s="2">
        <v>45439</v>
      </c>
      <c r="C1149" s="1" t="s">
        <v>1185</v>
      </c>
      <c r="D1149" s="1" t="s">
        <v>70</v>
      </c>
      <c r="E1149" s="1" t="s">
        <v>25</v>
      </c>
      <c r="F1149" s="1" t="s">
        <v>1241</v>
      </c>
      <c r="G1149" s="1" t="s">
        <v>18</v>
      </c>
      <c r="H1149" s="1">
        <v>1</v>
      </c>
      <c r="I1149" s="1">
        <f>Table1[[#This Row],[Units_Sold]]*Table1[[#This Row],[Unit_Price]]</f>
        <v>145.81</v>
      </c>
      <c r="J1149" s="1">
        <v>145.81</v>
      </c>
      <c r="K1149" s="1">
        <v>10</v>
      </c>
      <c r="L1149" s="1">
        <v>131.22999999999999</v>
      </c>
      <c r="M1149" s="1">
        <v>44.93</v>
      </c>
      <c r="N1149" s="1">
        <v>39</v>
      </c>
      <c r="O1149" s="1" t="s">
        <v>26</v>
      </c>
      <c r="P1149" s="1" t="s">
        <v>46</v>
      </c>
    </row>
    <row r="1150" spans="1:16" x14ac:dyDescent="0.3">
      <c r="A1150" s="1">
        <v>100034</v>
      </c>
      <c r="B1150" s="2">
        <v>45135</v>
      </c>
      <c r="C1150" s="1" t="s">
        <v>1186</v>
      </c>
      <c r="D1150" s="1" t="s">
        <v>22</v>
      </c>
      <c r="E1150" s="1" t="s">
        <v>17</v>
      </c>
      <c r="F1150" s="1" t="s">
        <v>1241</v>
      </c>
      <c r="G1150" s="1" t="s">
        <v>48</v>
      </c>
      <c r="H1150" s="1">
        <v>1</v>
      </c>
      <c r="I1150" s="1">
        <f>Table1[[#This Row],[Units_Sold]]*Table1[[#This Row],[Unit_Price]]</f>
        <v>24.55</v>
      </c>
      <c r="J1150" s="1">
        <v>24.55</v>
      </c>
      <c r="K1150" s="1">
        <v>0</v>
      </c>
      <c r="L1150" s="1">
        <v>24.55</v>
      </c>
      <c r="M1150" s="1">
        <v>7.93</v>
      </c>
      <c r="N1150" s="1">
        <v>29</v>
      </c>
      <c r="O1150" s="1" t="s">
        <v>26</v>
      </c>
      <c r="P1150" s="1" t="s">
        <v>32</v>
      </c>
    </row>
    <row r="1151" spans="1:16" x14ac:dyDescent="0.3">
      <c r="A1151" s="1">
        <v>100775</v>
      </c>
      <c r="B1151" s="2">
        <v>45771</v>
      </c>
      <c r="C1151" s="1" t="s">
        <v>1187</v>
      </c>
      <c r="D1151" s="1" t="s">
        <v>42</v>
      </c>
      <c r="E1151" s="1" t="s">
        <v>25</v>
      </c>
      <c r="F1151" s="1" t="s">
        <v>1238</v>
      </c>
      <c r="G1151" s="1" t="s">
        <v>18</v>
      </c>
      <c r="H1151" s="1">
        <v>3</v>
      </c>
      <c r="I1151" s="1">
        <f>Table1[[#This Row],[Units_Sold]]*Table1[[#This Row],[Unit_Price]]</f>
        <v>460.23</v>
      </c>
      <c r="J1151" s="1">
        <v>153.41</v>
      </c>
      <c r="K1151" s="1">
        <v>0</v>
      </c>
      <c r="L1151" s="1">
        <v>460.23</v>
      </c>
      <c r="M1151" s="1">
        <v>136.68</v>
      </c>
      <c r="N1151" s="1">
        <v>39</v>
      </c>
      <c r="O1151" s="1" t="s">
        <v>19</v>
      </c>
      <c r="P1151" s="1" t="s">
        <v>43</v>
      </c>
    </row>
    <row r="1152" spans="1:16" x14ac:dyDescent="0.3">
      <c r="A1152" s="1">
        <v>100508</v>
      </c>
      <c r="B1152" s="2">
        <v>45300</v>
      </c>
      <c r="C1152" s="1" t="s">
        <v>1188</v>
      </c>
      <c r="D1152" s="1" t="s">
        <v>62</v>
      </c>
      <c r="E1152" s="1" t="s">
        <v>17</v>
      </c>
      <c r="F1152" s="1" t="s">
        <v>1241</v>
      </c>
      <c r="G1152" s="1" t="s">
        <v>18</v>
      </c>
      <c r="H1152" s="1">
        <v>7</v>
      </c>
      <c r="I1152" s="1">
        <f>Table1[[#This Row],[Units_Sold]]*Table1[[#This Row],[Unit_Price]]</f>
        <v>864.71</v>
      </c>
      <c r="J1152" s="1">
        <v>123.53</v>
      </c>
      <c r="K1152" s="1">
        <v>40</v>
      </c>
      <c r="L1152" s="1">
        <v>518.83000000000004</v>
      </c>
      <c r="M1152" s="1">
        <v>149.66999999999999</v>
      </c>
      <c r="N1152" s="1">
        <v>45</v>
      </c>
      <c r="O1152" s="1" t="s">
        <v>19</v>
      </c>
      <c r="P1152" s="1" t="s">
        <v>51</v>
      </c>
    </row>
    <row r="1153" spans="1:16" x14ac:dyDescent="0.3">
      <c r="A1153" s="1">
        <v>101183</v>
      </c>
      <c r="B1153" s="2">
        <v>44995</v>
      </c>
      <c r="C1153" s="1" t="s">
        <v>1189</v>
      </c>
      <c r="D1153" s="1" t="s">
        <v>39</v>
      </c>
      <c r="E1153" s="1" t="s">
        <v>25</v>
      </c>
      <c r="F1153" s="1" t="s">
        <v>1239</v>
      </c>
      <c r="G1153" s="1" t="s">
        <v>31</v>
      </c>
      <c r="H1153" s="1">
        <v>1</v>
      </c>
      <c r="I1153" s="1">
        <f>Table1[[#This Row],[Units_Sold]]*Table1[[#This Row],[Unit_Price]]</f>
        <v>196.24</v>
      </c>
      <c r="J1153" s="1">
        <v>196.24</v>
      </c>
      <c r="K1153" s="1">
        <v>20</v>
      </c>
      <c r="L1153" s="1">
        <v>156.99</v>
      </c>
      <c r="M1153" s="1">
        <v>48.09</v>
      </c>
      <c r="N1153" s="1">
        <v>36</v>
      </c>
      <c r="O1153" s="1" t="s">
        <v>26</v>
      </c>
      <c r="P1153" s="1" t="s">
        <v>27</v>
      </c>
    </row>
    <row r="1154" spans="1:16" x14ac:dyDescent="0.3">
      <c r="A1154" s="1">
        <v>100091</v>
      </c>
      <c r="B1154" s="2">
        <v>45564</v>
      </c>
      <c r="C1154" s="1" t="s">
        <v>1190</v>
      </c>
      <c r="D1154" s="1" t="s">
        <v>53</v>
      </c>
      <c r="E1154" s="1" t="s">
        <v>30</v>
      </c>
      <c r="F1154" s="1" t="s">
        <v>1237</v>
      </c>
      <c r="G1154" s="1" t="s">
        <v>18</v>
      </c>
      <c r="H1154" s="1">
        <v>3</v>
      </c>
      <c r="I1154" s="1">
        <f>Table1[[#This Row],[Units_Sold]]*Table1[[#This Row],[Unit_Price]]</f>
        <v>53.849999999999994</v>
      </c>
      <c r="J1154" s="1">
        <v>17.95</v>
      </c>
      <c r="K1154" s="1">
        <v>0</v>
      </c>
      <c r="L1154" s="1">
        <v>53.85</v>
      </c>
      <c r="M1154" s="1">
        <v>20.98</v>
      </c>
      <c r="N1154" s="1">
        <v>22</v>
      </c>
      <c r="O1154" s="1" t="s">
        <v>26</v>
      </c>
      <c r="P1154" s="1" t="s">
        <v>20</v>
      </c>
    </row>
    <row r="1155" spans="1:16" x14ac:dyDescent="0.3">
      <c r="A1155" s="1">
        <v>100897</v>
      </c>
      <c r="B1155" s="2">
        <v>45833</v>
      </c>
      <c r="C1155" s="1" t="s">
        <v>1191</v>
      </c>
      <c r="D1155" s="1" t="s">
        <v>22</v>
      </c>
      <c r="E1155" s="1" t="s">
        <v>17</v>
      </c>
      <c r="F1155" s="1" t="s">
        <v>1238</v>
      </c>
      <c r="G1155" s="1" t="s">
        <v>31</v>
      </c>
      <c r="H1155" s="1">
        <v>3</v>
      </c>
      <c r="I1155" s="1">
        <f>Table1[[#This Row],[Units_Sold]]*Table1[[#This Row],[Unit_Price]]</f>
        <v>63.300000000000004</v>
      </c>
      <c r="J1155" s="1">
        <v>21.1</v>
      </c>
      <c r="K1155" s="1">
        <v>0</v>
      </c>
      <c r="L1155" s="1">
        <v>63.3</v>
      </c>
      <c r="M1155" s="1">
        <v>17.350000000000001</v>
      </c>
      <c r="N1155" s="1">
        <v>33</v>
      </c>
      <c r="O1155" s="1" t="s">
        <v>26</v>
      </c>
      <c r="P1155" s="1" t="s">
        <v>81</v>
      </c>
    </row>
    <row r="1156" spans="1:16" x14ac:dyDescent="0.3">
      <c r="A1156" s="1">
        <v>100564</v>
      </c>
      <c r="B1156" s="2">
        <v>45175</v>
      </c>
      <c r="C1156" s="1" t="s">
        <v>1192</v>
      </c>
      <c r="D1156" s="1" t="s">
        <v>24</v>
      </c>
      <c r="E1156" s="1" t="s">
        <v>25</v>
      </c>
      <c r="F1156" s="1" t="s">
        <v>1238</v>
      </c>
      <c r="G1156" s="1" t="s">
        <v>31</v>
      </c>
      <c r="H1156" s="1">
        <v>3</v>
      </c>
      <c r="I1156" s="1">
        <f>Table1[[#This Row],[Units_Sold]]*Table1[[#This Row],[Unit_Price]]</f>
        <v>250.35000000000002</v>
      </c>
      <c r="J1156" s="1">
        <v>83.45</v>
      </c>
      <c r="K1156" s="1">
        <v>40</v>
      </c>
      <c r="L1156" s="1">
        <v>150.21</v>
      </c>
      <c r="M1156" s="1">
        <v>23.79</v>
      </c>
      <c r="N1156" s="1">
        <v>33</v>
      </c>
      <c r="O1156" s="1" t="s">
        <v>19</v>
      </c>
      <c r="P1156" s="1" t="s">
        <v>27</v>
      </c>
    </row>
    <row r="1157" spans="1:16" x14ac:dyDescent="0.3">
      <c r="A1157" s="1">
        <v>100776</v>
      </c>
      <c r="B1157" s="2">
        <v>45707</v>
      </c>
      <c r="C1157" s="1" t="s">
        <v>1193</v>
      </c>
      <c r="D1157" s="1" t="s">
        <v>70</v>
      </c>
      <c r="E1157" s="1" t="s">
        <v>25</v>
      </c>
      <c r="F1157" s="1" t="s">
        <v>1241</v>
      </c>
      <c r="G1157" s="1" t="s">
        <v>18</v>
      </c>
      <c r="H1157" s="1">
        <v>3</v>
      </c>
      <c r="I1157" s="1">
        <f>Table1[[#This Row],[Units_Sold]]*Table1[[#This Row],[Unit_Price]]</f>
        <v>453.09000000000003</v>
      </c>
      <c r="J1157" s="1">
        <v>151.03</v>
      </c>
      <c r="K1157" s="1">
        <v>0</v>
      </c>
      <c r="L1157" s="1">
        <v>453.09</v>
      </c>
      <c r="M1157" s="1">
        <v>119.01</v>
      </c>
      <c r="N1157" s="1">
        <v>31</v>
      </c>
      <c r="O1157" s="1" t="s">
        <v>19</v>
      </c>
      <c r="P1157" s="1" t="s">
        <v>81</v>
      </c>
    </row>
    <row r="1158" spans="1:16" x14ac:dyDescent="0.3">
      <c r="A1158" s="1">
        <v>100241</v>
      </c>
      <c r="B1158" s="2">
        <v>45518</v>
      </c>
      <c r="C1158" s="1" t="s">
        <v>1194</v>
      </c>
      <c r="D1158" s="1" t="s">
        <v>100</v>
      </c>
      <c r="E1158" s="1" t="s">
        <v>25</v>
      </c>
      <c r="F1158" s="1" t="s">
        <v>1237</v>
      </c>
      <c r="G1158" s="1" t="s">
        <v>18</v>
      </c>
      <c r="H1158" s="1">
        <v>5</v>
      </c>
      <c r="I1158" s="1">
        <f>Table1[[#This Row],[Units_Sold]]*Table1[[#This Row],[Unit_Price]]</f>
        <v>634.04999999999995</v>
      </c>
      <c r="J1158" s="1">
        <v>126.81</v>
      </c>
      <c r="K1158" s="1">
        <v>0</v>
      </c>
      <c r="L1158" s="1">
        <v>634.04999999999995</v>
      </c>
      <c r="M1158" s="1">
        <v>155.59</v>
      </c>
      <c r="N1158" s="1">
        <v>27</v>
      </c>
      <c r="O1158" s="1" t="s">
        <v>19</v>
      </c>
      <c r="P1158" s="1" t="s">
        <v>51</v>
      </c>
    </row>
    <row r="1159" spans="1:16" x14ac:dyDescent="0.3">
      <c r="A1159" s="1">
        <v>100013</v>
      </c>
      <c r="B1159" s="2">
        <v>45446</v>
      </c>
      <c r="C1159" s="1" t="s">
        <v>153</v>
      </c>
      <c r="D1159" s="1" t="s">
        <v>87</v>
      </c>
      <c r="E1159" s="1" t="s">
        <v>25</v>
      </c>
      <c r="F1159" s="1" t="s">
        <v>1241</v>
      </c>
      <c r="G1159" s="1" t="s">
        <v>31</v>
      </c>
      <c r="H1159" s="1">
        <v>5</v>
      </c>
      <c r="I1159" s="1">
        <f>Table1[[#This Row],[Units_Sold]]*Table1[[#This Row],[Unit_Price]]</f>
        <v>384.35</v>
      </c>
      <c r="J1159" s="1">
        <v>76.87</v>
      </c>
      <c r="K1159" s="1">
        <v>0</v>
      </c>
      <c r="L1159" s="1">
        <v>384.35</v>
      </c>
      <c r="M1159" s="1">
        <v>134</v>
      </c>
      <c r="N1159" s="1">
        <v>36</v>
      </c>
      <c r="O1159" s="1" t="s">
        <v>19</v>
      </c>
      <c r="P1159" s="1" t="s">
        <v>35</v>
      </c>
    </row>
    <row r="1160" spans="1:16" x14ac:dyDescent="0.3">
      <c r="A1160" s="1">
        <v>100315</v>
      </c>
      <c r="B1160" s="2">
        <v>45249</v>
      </c>
      <c r="C1160" s="1" t="s">
        <v>1195</v>
      </c>
      <c r="D1160" s="1" t="s">
        <v>68</v>
      </c>
      <c r="E1160" s="1" t="s">
        <v>25</v>
      </c>
      <c r="F1160" s="1" t="s">
        <v>1237</v>
      </c>
      <c r="G1160" s="1" t="s">
        <v>18</v>
      </c>
      <c r="H1160" s="1">
        <v>5</v>
      </c>
      <c r="I1160" s="1">
        <f>Table1[[#This Row],[Units_Sold]]*Table1[[#This Row],[Unit_Price]]</f>
        <v>1152.5</v>
      </c>
      <c r="J1160" s="1">
        <v>230.5</v>
      </c>
      <c r="K1160" s="1">
        <v>20</v>
      </c>
      <c r="L1160" s="1">
        <v>922</v>
      </c>
      <c r="M1160" s="1">
        <v>337.32</v>
      </c>
      <c r="N1160" s="1">
        <v>29</v>
      </c>
      <c r="O1160" s="1" t="s">
        <v>19</v>
      </c>
      <c r="P1160" s="1" t="s">
        <v>20</v>
      </c>
    </row>
    <row r="1161" spans="1:16" x14ac:dyDescent="0.3">
      <c r="A1161" s="1">
        <v>100600</v>
      </c>
      <c r="B1161" s="2">
        <v>45226</v>
      </c>
      <c r="C1161" s="1" t="s">
        <v>1196</v>
      </c>
      <c r="D1161" s="1" t="s">
        <v>53</v>
      </c>
      <c r="E1161" s="1" t="s">
        <v>30</v>
      </c>
      <c r="F1161" s="1" t="s">
        <v>1237</v>
      </c>
      <c r="G1161" s="1" t="s">
        <v>18</v>
      </c>
      <c r="H1161" s="1">
        <v>2</v>
      </c>
      <c r="I1161" s="1">
        <f>Table1[[#This Row],[Units_Sold]]*Table1[[#This Row],[Unit_Price]]</f>
        <v>41.28</v>
      </c>
      <c r="J1161" s="1">
        <v>20.64</v>
      </c>
      <c r="K1161" s="1">
        <v>10</v>
      </c>
      <c r="L1161" s="1">
        <v>37.15</v>
      </c>
      <c r="M1161" s="1">
        <v>14.42</v>
      </c>
      <c r="N1161" s="1">
        <v>37</v>
      </c>
      <c r="O1161" s="1" t="s">
        <v>26</v>
      </c>
      <c r="P1161" s="1" t="s">
        <v>51</v>
      </c>
    </row>
    <row r="1162" spans="1:16" x14ac:dyDescent="0.3">
      <c r="A1162" s="1">
        <v>100387</v>
      </c>
      <c r="B1162" s="2">
        <v>45620</v>
      </c>
      <c r="C1162" s="1" t="s">
        <v>1197</v>
      </c>
      <c r="D1162" s="1" t="s">
        <v>73</v>
      </c>
      <c r="E1162" s="1" t="s">
        <v>25</v>
      </c>
      <c r="F1162" s="1" t="s">
        <v>1238</v>
      </c>
      <c r="G1162" s="1" t="s">
        <v>18</v>
      </c>
      <c r="H1162" s="1">
        <v>5</v>
      </c>
      <c r="I1162" s="1">
        <f>Table1[[#This Row],[Units_Sold]]*Table1[[#This Row],[Unit_Price]]</f>
        <v>187.25</v>
      </c>
      <c r="J1162" s="1">
        <v>37.450000000000003</v>
      </c>
      <c r="K1162" s="1">
        <v>40</v>
      </c>
      <c r="L1162" s="1">
        <v>112.35</v>
      </c>
      <c r="M1162" s="1">
        <v>33.340000000000003</v>
      </c>
      <c r="N1162" s="1">
        <v>45</v>
      </c>
      <c r="O1162" s="1" t="s">
        <v>19</v>
      </c>
      <c r="P1162" s="1" t="s">
        <v>81</v>
      </c>
    </row>
    <row r="1163" spans="1:16" x14ac:dyDescent="0.3">
      <c r="A1163" s="1">
        <v>100166</v>
      </c>
      <c r="B1163" s="2">
        <v>44955</v>
      </c>
      <c r="C1163" s="1" t="s">
        <v>1198</v>
      </c>
      <c r="D1163" s="1" t="s">
        <v>66</v>
      </c>
      <c r="E1163" s="1" t="s">
        <v>17</v>
      </c>
      <c r="F1163" s="1" t="s">
        <v>1239</v>
      </c>
      <c r="G1163" s="1" t="s">
        <v>31</v>
      </c>
      <c r="H1163" s="1">
        <v>4</v>
      </c>
      <c r="I1163" s="1">
        <f>Table1[[#This Row],[Units_Sold]]*Table1[[#This Row],[Unit_Price]]</f>
        <v>479.36</v>
      </c>
      <c r="J1163" s="1">
        <v>119.84</v>
      </c>
      <c r="K1163" s="1">
        <v>0</v>
      </c>
      <c r="L1163" s="1">
        <v>479.36</v>
      </c>
      <c r="M1163" s="1">
        <v>168.4</v>
      </c>
      <c r="N1163" s="1">
        <v>35</v>
      </c>
      <c r="O1163" s="1" t="s">
        <v>19</v>
      </c>
      <c r="P1163" s="1" t="s">
        <v>35</v>
      </c>
    </row>
    <row r="1164" spans="1:16" x14ac:dyDescent="0.3">
      <c r="A1164" s="1">
        <v>100840</v>
      </c>
      <c r="B1164" s="2">
        <v>45701</v>
      </c>
      <c r="C1164" s="1" t="s">
        <v>1199</v>
      </c>
      <c r="D1164" s="1" t="s">
        <v>87</v>
      </c>
      <c r="E1164" s="1" t="s">
        <v>25</v>
      </c>
      <c r="F1164" s="1" t="s">
        <v>1237</v>
      </c>
      <c r="G1164" s="1" t="s">
        <v>18</v>
      </c>
      <c r="H1164" s="1">
        <v>2</v>
      </c>
      <c r="I1164" s="1">
        <f>Table1[[#This Row],[Units_Sold]]*Table1[[#This Row],[Unit_Price]]</f>
        <v>158.5</v>
      </c>
      <c r="J1164" s="1">
        <v>79.25</v>
      </c>
      <c r="K1164" s="1">
        <v>5</v>
      </c>
      <c r="L1164" s="1">
        <v>150.57</v>
      </c>
      <c r="M1164" s="1">
        <v>49.34</v>
      </c>
      <c r="N1164" s="1">
        <v>33</v>
      </c>
      <c r="O1164" s="1" t="s">
        <v>26</v>
      </c>
      <c r="P1164" s="1" t="s">
        <v>51</v>
      </c>
    </row>
    <row r="1165" spans="1:16" x14ac:dyDescent="0.3">
      <c r="A1165" s="1">
        <v>100020</v>
      </c>
      <c r="B1165" s="2">
        <v>45667</v>
      </c>
      <c r="C1165" s="1" t="s">
        <v>1200</v>
      </c>
      <c r="D1165" s="1" t="s">
        <v>77</v>
      </c>
      <c r="E1165" s="1" t="s">
        <v>30</v>
      </c>
      <c r="F1165" s="1" t="s">
        <v>1241</v>
      </c>
      <c r="G1165" s="1" t="s">
        <v>31</v>
      </c>
      <c r="H1165" s="1">
        <v>5</v>
      </c>
      <c r="I1165" s="1">
        <f>Table1[[#This Row],[Units_Sold]]*Table1[[#This Row],[Unit_Price]]</f>
        <v>203.45</v>
      </c>
      <c r="J1165" s="1">
        <v>40.69</v>
      </c>
      <c r="K1165" s="1">
        <v>0</v>
      </c>
      <c r="L1165" s="1">
        <v>203.45</v>
      </c>
      <c r="M1165" s="1">
        <v>38.340000000000003</v>
      </c>
      <c r="N1165" s="1">
        <v>16</v>
      </c>
      <c r="O1165" s="1" t="s">
        <v>26</v>
      </c>
      <c r="P1165" s="1" t="s">
        <v>27</v>
      </c>
    </row>
    <row r="1166" spans="1:16" x14ac:dyDescent="0.3">
      <c r="A1166" s="1">
        <v>100646</v>
      </c>
      <c r="B1166" s="2">
        <v>44941</v>
      </c>
      <c r="C1166" s="1" t="s">
        <v>1201</v>
      </c>
      <c r="D1166" s="1" t="s">
        <v>87</v>
      </c>
      <c r="E1166" s="1" t="s">
        <v>25</v>
      </c>
      <c r="F1166" s="1" t="s">
        <v>1239</v>
      </c>
      <c r="G1166" s="1" t="s">
        <v>31</v>
      </c>
      <c r="H1166" s="1">
        <v>4</v>
      </c>
      <c r="I1166" s="1">
        <f>Table1[[#This Row],[Units_Sold]]*Table1[[#This Row],[Unit_Price]]</f>
        <v>347.8</v>
      </c>
      <c r="J1166" s="1">
        <v>86.95</v>
      </c>
      <c r="K1166" s="1">
        <v>0</v>
      </c>
      <c r="L1166" s="1">
        <v>347.8</v>
      </c>
      <c r="M1166" s="1">
        <v>60.89</v>
      </c>
      <c r="N1166" s="1">
        <v>24</v>
      </c>
      <c r="O1166" s="1" t="s">
        <v>19</v>
      </c>
      <c r="P1166" s="1" t="s">
        <v>43</v>
      </c>
    </row>
    <row r="1167" spans="1:16" x14ac:dyDescent="0.3">
      <c r="A1167" s="1">
        <v>101154</v>
      </c>
      <c r="B1167" s="2">
        <v>45120</v>
      </c>
      <c r="C1167" s="1" t="s">
        <v>1202</v>
      </c>
      <c r="D1167" s="1" t="s">
        <v>62</v>
      </c>
      <c r="E1167" s="1" t="s">
        <v>17</v>
      </c>
      <c r="F1167" s="1" t="s">
        <v>1241</v>
      </c>
      <c r="G1167" s="1" t="s">
        <v>31</v>
      </c>
      <c r="H1167" s="1">
        <v>3</v>
      </c>
      <c r="I1167" s="1">
        <f>Table1[[#This Row],[Units_Sold]]*Table1[[#This Row],[Unit_Price]]</f>
        <v>430.62</v>
      </c>
      <c r="J1167" s="1">
        <v>143.54</v>
      </c>
      <c r="K1167" s="1">
        <v>20</v>
      </c>
      <c r="L1167" s="1">
        <v>344.5</v>
      </c>
      <c r="M1167" s="1">
        <v>84.76</v>
      </c>
      <c r="N1167" s="1">
        <v>28</v>
      </c>
      <c r="O1167" s="1" t="s">
        <v>26</v>
      </c>
      <c r="P1167" s="1" t="s">
        <v>27</v>
      </c>
    </row>
    <row r="1168" spans="1:16" x14ac:dyDescent="0.3">
      <c r="A1168" s="1">
        <v>100831</v>
      </c>
      <c r="B1168" s="2">
        <v>45733</v>
      </c>
      <c r="C1168" s="1" t="s">
        <v>1203</v>
      </c>
      <c r="D1168" s="1" t="s">
        <v>37</v>
      </c>
      <c r="E1168" s="1" t="s">
        <v>17</v>
      </c>
      <c r="F1168" s="1" t="s">
        <v>1238</v>
      </c>
      <c r="G1168" s="1" t="s">
        <v>48</v>
      </c>
      <c r="H1168" s="1">
        <v>2</v>
      </c>
      <c r="I1168" s="1">
        <f>Table1[[#This Row],[Units_Sold]]*Table1[[#This Row],[Unit_Price]]</f>
        <v>145.91999999999999</v>
      </c>
      <c r="J1168" s="1">
        <v>72.959999999999994</v>
      </c>
      <c r="K1168" s="1">
        <v>10</v>
      </c>
      <c r="L1168" s="1">
        <v>131.33000000000001</v>
      </c>
      <c r="M1168" s="1">
        <v>39.22</v>
      </c>
      <c r="N1168" s="1">
        <v>17</v>
      </c>
      <c r="O1168" s="1" t="s">
        <v>19</v>
      </c>
      <c r="P1168" s="1" t="s">
        <v>43</v>
      </c>
    </row>
    <row r="1169" spans="1:16" x14ac:dyDescent="0.3">
      <c r="A1169" s="1">
        <v>100562</v>
      </c>
      <c r="B1169" s="2">
        <v>45271</v>
      </c>
      <c r="C1169" s="1" t="s">
        <v>1204</v>
      </c>
      <c r="D1169" s="1" t="s">
        <v>24</v>
      </c>
      <c r="E1169" s="1" t="s">
        <v>25</v>
      </c>
      <c r="F1169" s="1" t="s">
        <v>1237</v>
      </c>
      <c r="G1169" s="1" t="s">
        <v>31</v>
      </c>
      <c r="H1169" s="1">
        <v>3</v>
      </c>
      <c r="I1169" s="1">
        <f>Table1[[#This Row],[Units_Sold]]*Table1[[#This Row],[Unit_Price]]</f>
        <v>297.69</v>
      </c>
      <c r="J1169" s="1">
        <v>99.23</v>
      </c>
      <c r="K1169" s="1">
        <v>5</v>
      </c>
      <c r="L1169" s="1">
        <v>282.81</v>
      </c>
      <c r="M1169" s="1">
        <v>65.959999999999994</v>
      </c>
      <c r="N1169" s="1">
        <v>33</v>
      </c>
      <c r="O1169" s="1" t="s">
        <v>26</v>
      </c>
      <c r="P1169" s="1" t="s">
        <v>32</v>
      </c>
    </row>
    <row r="1170" spans="1:16" x14ac:dyDescent="0.3">
      <c r="A1170" s="1">
        <v>101170</v>
      </c>
      <c r="B1170" s="2">
        <v>45425</v>
      </c>
      <c r="C1170" s="1" t="s">
        <v>1205</v>
      </c>
      <c r="D1170" s="1" t="s">
        <v>16</v>
      </c>
      <c r="E1170" s="1" t="s">
        <v>17</v>
      </c>
      <c r="F1170" s="1" t="s">
        <v>1241</v>
      </c>
      <c r="G1170" s="1" t="s">
        <v>31</v>
      </c>
      <c r="H1170" s="1">
        <v>2</v>
      </c>
      <c r="I1170" s="1">
        <f>Table1[[#This Row],[Units_Sold]]*Table1[[#This Row],[Unit_Price]]</f>
        <v>125.54</v>
      </c>
      <c r="J1170" s="1">
        <v>62.77</v>
      </c>
      <c r="K1170" s="1">
        <v>10</v>
      </c>
      <c r="L1170" s="1">
        <v>112.99</v>
      </c>
      <c r="M1170" s="1">
        <v>24.42</v>
      </c>
      <c r="N1170" s="1">
        <v>35</v>
      </c>
      <c r="O1170" s="1" t="s">
        <v>26</v>
      </c>
      <c r="P1170" s="1" t="s">
        <v>27</v>
      </c>
    </row>
    <row r="1171" spans="1:16" x14ac:dyDescent="0.3">
      <c r="A1171" s="1">
        <v>100686</v>
      </c>
      <c r="B1171" s="2">
        <v>45214</v>
      </c>
      <c r="C1171" s="1" t="s">
        <v>1206</v>
      </c>
      <c r="D1171" s="1" t="s">
        <v>68</v>
      </c>
      <c r="E1171" s="1" t="s">
        <v>25</v>
      </c>
      <c r="F1171" s="1" t="s">
        <v>1238</v>
      </c>
      <c r="G1171" s="1" t="s">
        <v>18</v>
      </c>
      <c r="H1171" s="1">
        <v>4</v>
      </c>
      <c r="I1171" s="1">
        <f>Table1[[#This Row],[Units_Sold]]*Table1[[#This Row],[Unit_Price]]</f>
        <v>922.44</v>
      </c>
      <c r="J1171" s="1">
        <v>230.61</v>
      </c>
      <c r="K1171" s="1">
        <v>10</v>
      </c>
      <c r="L1171" s="1">
        <v>830.2</v>
      </c>
      <c r="M1171" s="1">
        <v>213.75</v>
      </c>
      <c r="N1171" s="1">
        <v>34</v>
      </c>
      <c r="O1171" s="1" t="s">
        <v>19</v>
      </c>
      <c r="P1171" s="1" t="s">
        <v>51</v>
      </c>
    </row>
    <row r="1172" spans="1:16" x14ac:dyDescent="0.3">
      <c r="A1172" s="1">
        <v>100957</v>
      </c>
      <c r="B1172" s="2">
        <v>45577</v>
      </c>
      <c r="C1172" s="1" t="s">
        <v>1207</v>
      </c>
      <c r="D1172" s="1" t="s">
        <v>59</v>
      </c>
      <c r="E1172" s="1" t="s">
        <v>17</v>
      </c>
      <c r="F1172" s="1" t="s">
        <v>1237</v>
      </c>
      <c r="G1172" s="1" t="s">
        <v>64</v>
      </c>
      <c r="H1172" s="1">
        <v>4</v>
      </c>
      <c r="I1172" s="1">
        <f>Table1[[#This Row],[Units_Sold]]*Table1[[#This Row],[Unit_Price]]</f>
        <v>120.76</v>
      </c>
      <c r="J1172" s="1">
        <v>30.19</v>
      </c>
      <c r="K1172" s="1">
        <v>0</v>
      </c>
      <c r="L1172" s="1">
        <v>120.76</v>
      </c>
      <c r="M1172" s="1">
        <v>33.520000000000003</v>
      </c>
      <c r="N1172" s="1">
        <v>18</v>
      </c>
      <c r="O1172" s="1" t="s">
        <v>19</v>
      </c>
      <c r="P1172" s="1" t="s">
        <v>51</v>
      </c>
    </row>
    <row r="1173" spans="1:16" x14ac:dyDescent="0.3">
      <c r="A1173" s="1">
        <v>100189</v>
      </c>
      <c r="B1173" s="2">
        <v>45553</v>
      </c>
      <c r="C1173" s="1" t="s">
        <v>1208</v>
      </c>
      <c r="D1173" s="1" t="s">
        <v>24</v>
      </c>
      <c r="E1173" s="1" t="s">
        <v>25</v>
      </c>
      <c r="F1173" s="1" t="s">
        <v>1238</v>
      </c>
      <c r="G1173" s="1" t="s">
        <v>31</v>
      </c>
      <c r="H1173" s="1">
        <v>1</v>
      </c>
      <c r="I1173" s="1">
        <f>Table1[[#This Row],[Units_Sold]]*Table1[[#This Row],[Unit_Price]]</f>
        <v>79.48</v>
      </c>
      <c r="J1173" s="1">
        <v>79.48</v>
      </c>
      <c r="K1173" s="1">
        <v>10</v>
      </c>
      <c r="L1173" s="1">
        <v>71.53</v>
      </c>
      <c r="M1173" s="1">
        <v>20.5</v>
      </c>
      <c r="N1173" s="1">
        <v>29</v>
      </c>
      <c r="O1173" s="1" t="s">
        <v>26</v>
      </c>
      <c r="P1173" s="1" t="s">
        <v>32</v>
      </c>
    </row>
    <row r="1174" spans="1:16" x14ac:dyDescent="0.3">
      <c r="A1174" s="1">
        <v>100975</v>
      </c>
      <c r="B1174" s="2">
        <v>45548</v>
      </c>
      <c r="C1174" s="1" t="s">
        <v>1209</v>
      </c>
      <c r="D1174" s="1" t="s">
        <v>73</v>
      </c>
      <c r="E1174" s="1" t="s">
        <v>25</v>
      </c>
      <c r="F1174" s="1" t="s">
        <v>1239</v>
      </c>
      <c r="G1174" s="1" t="s">
        <v>48</v>
      </c>
      <c r="H1174" s="1">
        <v>4</v>
      </c>
      <c r="I1174" s="1">
        <f>Table1[[#This Row],[Units_Sold]]*Table1[[#This Row],[Unit_Price]]</f>
        <v>149.28</v>
      </c>
      <c r="J1174" s="1">
        <v>37.32</v>
      </c>
      <c r="K1174" s="1">
        <v>0</v>
      </c>
      <c r="L1174" s="1">
        <v>149.28</v>
      </c>
      <c r="M1174" s="1">
        <v>45.58</v>
      </c>
      <c r="N1174" s="1">
        <v>21</v>
      </c>
      <c r="O1174" s="1" t="s">
        <v>19</v>
      </c>
      <c r="P1174" s="1" t="s">
        <v>81</v>
      </c>
    </row>
    <row r="1175" spans="1:16" x14ac:dyDescent="0.3">
      <c r="A1175" s="1">
        <v>100699</v>
      </c>
      <c r="B1175" s="2">
        <v>45408</v>
      </c>
      <c r="C1175" s="1" t="s">
        <v>1210</v>
      </c>
      <c r="D1175" s="1" t="s">
        <v>45</v>
      </c>
      <c r="E1175" s="1" t="s">
        <v>30</v>
      </c>
      <c r="F1175" s="1" t="s">
        <v>1238</v>
      </c>
      <c r="G1175" s="1" t="s">
        <v>18</v>
      </c>
      <c r="H1175" s="1">
        <v>4</v>
      </c>
      <c r="I1175" s="1">
        <f>Table1[[#This Row],[Units_Sold]]*Table1[[#This Row],[Unit_Price]]</f>
        <v>60.84</v>
      </c>
      <c r="J1175" s="1">
        <v>15.21</v>
      </c>
      <c r="K1175" s="1">
        <v>0</v>
      </c>
      <c r="L1175" s="1">
        <v>60.84</v>
      </c>
      <c r="M1175" s="1">
        <v>25.41</v>
      </c>
      <c r="N1175" s="1">
        <v>26</v>
      </c>
      <c r="O1175" s="1" t="s">
        <v>19</v>
      </c>
      <c r="P1175" s="1" t="s">
        <v>27</v>
      </c>
    </row>
    <row r="1176" spans="1:16" x14ac:dyDescent="0.3">
      <c r="A1176" s="1">
        <v>100510</v>
      </c>
      <c r="B1176" s="2">
        <v>45107</v>
      </c>
      <c r="C1176" s="1" t="s">
        <v>1211</v>
      </c>
      <c r="D1176" s="1" t="s">
        <v>34</v>
      </c>
      <c r="E1176" s="1" t="s">
        <v>30</v>
      </c>
      <c r="F1176" s="1" t="s">
        <v>1240</v>
      </c>
      <c r="G1176" s="1" t="s">
        <v>48</v>
      </c>
      <c r="H1176" s="1">
        <v>2</v>
      </c>
      <c r="I1176" s="1">
        <f>Table1[[#This Row],[Units_Sold]]*Table1[[#This Row],[Unit_Price]]</f>
        <v>129.72</v>
      </c>
      <c r="J1176" s="1">
        <v>64.86</v>
      </c>
      <c r="K1176" s="1">
        <v>5</v>
      </c>
      <c r="L1176" s="1">
        <v>123.23</v>
      </c>
      <c r="M1176" s="1">
        <v>52.24</v>
      </c>
      <c r="N1176" s="1">
        <v>39</v>
      </c>
      <c r="O1176" s="1" t="s">
        <v>26</v>
      </c>
      <c r="P1176" s="1" t="s">
        <v>43</v>
      </c>
    </row>
    <row r="1177" spans="1:16" x14ac:dyDescent="0.3">
      <c r="A1177" s="1">
        <v>101082</v>
      </c>
      <c r="B1177" s="2">
        <v>44993</v>
      </c>
      <c r="C1177" s="1" t="s">
        <v>1212</v>
      </c>
      <c r="D1177" s="1" t="s">
        <v>73</v>
      </c>
      <c r="E1177" s="1" t="s">
        <v>25</v>
      </c>
      <c r="F1177" s="1" t="s">
        <v>1237</v>
      </c>
      <c r="G1177" s="1" t="s">
        <v>18</v>
      </c>
      <c r="H1177" s="1">
        <v>2</v>
      </c>
      <c r="I1177" s="1">
        <f>Table1[[#This Row],[Units_Sold]]*Table1[[#This Row],[Unit_Price]]</f>
        <v>73.900000000000006</v>
      </c>
      <c r="J1177" s="1">
        <v>36.950000000000003</v>
      </c>
      <c r="K1177" s="1">
        <v>0</v>
      </c>
      <c r="L1177" s="1">
        <v>73.900000000000006</v>
      </c>
      <c r="M1177" s="1">
        <v>19.079999999999998</v>
      </c>
      <c r="N1177" s="1">
        <v>33</v>
      </c>
      <c r="O1177" s="1" t="s">
        <v>19</v>
      </c>
      <c r="P1177" s="1" t="s">
        <v>81</v>
      </c>
    </row>
    <row r="1178" spans="1:16" x14ac:dyDescent="0.3">
      <c r="A1178" s="1">
        <v>100474</v>
      </c>
      <c r="B1178" s="2">
        <v>45757</v>
      </c>
      <c r="C1178" s="1" t="s">
        <v>1213</v>
      </c>
      <c r="D1178" s="1" t="s">
        <v>66</v>
      </c>
      <c r="E1178" s="1" t="s">
        <v>17</v>
      </c>
      <c r="F1178" s="1" t="s">
        <v>1238</v>
      </c>
      <c r="G1178" s="1" t="s">
        <v>31</v>
      </c>
      <c r="H1178" s="1">
        <v>1</v>
      </c>
      <c r="I1178" s="1">
        <f>Table1[[#This Row],[Units_Sold]]*Table1[[#This Row],[Unit_Price]]</f>
        <v>110.04</v>
      </c>
      <c r="J1178" s="1">
        <v>110.04</v>
      </c>
      <c r="K1178" s="1">
        <v>0</v>
      </c>
      <c r="L1178" s="1">
        <v>110.04</v>
      </c>
      <c r="M1178" s="1">
        <v>35.72</v>
      </c>
      <c r="N1178" s="1">
        <v>37</v>
      </c>
      <c r="O1178" s="1" t="s">
        <v>26</v>
      </c>
      <c r="P1178" s="1" t="s">
        <v>35</v>
      </c>
    </row>
    <row r="1179" spans="1:16" x14ac:dyDescent="0.3">
      <c r="A1179" s="1">
        <v>100856</v>
      </c>
      <c r="B1179" s="2">
        <v>45338</v>
      </c>
      <c r="C1179" s="1" t="s">
        <v>1214</v>
      </c>
      <c r="D1179" s="1" t="s">
        <v>77</v>
      </c>
      <c r="E1179" s="1" t="s">
        <v>30</v>
      </c>
      <c r="F1179" s="1" t="s">
        <v>1239</v>
      </c>
      <c r="G1179" s="1" t="s">
        <v>18</v>
      </c>
      <c r="H1179" s="1">
        <v>6</v>
      </c>
      <c r="I1179" s="1">
        <f>Table1[[#This Row],[Units_Sold]]*Table1[[#This Row],[Unit_Price]]</f>
        <v>226.79999999999998</v>
      </c>
      <c r="J1179" s="1">
        <v>37.799999999999997</v>
      </c>
      <c r="K1179" s="1">
        <v>10</v>
      </c>
      <c r="L1179" s="1">
        <v>204.12</v>
      </c>
      <c r="M1179" s="1">
        <v>55.31</v>
      </c>
      <c r="N1179" s="1">
        <v>25</v>
      </c>
      <c r="O1179" s="1" t="s">
        <v>26</v>
      </c>
      <c r="P1179" s="1" t="s">
        <v>32</v>
      </c>
    </row>
    <row r="1180" spans="1:16" x14ac:dyDescent="0.3">
      <c r="A1180" s="1">
        <v>100747</v>
      </c>
      <c r="B1180" s="2">
        <v>45828</v>
      </c>
      <c r="C1180" s="1" t="s">
        <v>1215</v>
      </c>
      <c r="D1180" s="1" t="s">
        <v>87</v>
      </c>
      <c r="E1180" s="1" t="s">
        <v>25</v>
      </c>
      <c r="F1180" s="1" t="s">
        <v>1238</v>
      </c>
      <c r="G1180" s="1" t="s">
        <v>18</v>
      </c>
      <c r="H1180" s="1">
        <v>2</v>
      </c>
      <c r="I1180" s="1">
        <f>Table1[[#This Row],[Units_Sold]]*Table1[[#This Row],[Unit_Price]]</f>
        <v>165.64</v>
      </c>
      <c r="J1180" s="1">
        <v>82.82</v>
      </c>
      <c r="K1180" s="1">
        <v>5</v>
      </c>
      <c r="L1180" s="1">
        <v>157.36000000000001</v>
      </c>
      <c r="M1180" s="1">
        <v>60.14</v>
      </c>
      <c r="N1180" s="1">
        <v>32</v>
      </c>
      <c r="O1180" s="1" t="s">
        <v>26</v>
      </c>
      <c r="P1180" s="1" t="s">
        <v>81</v>
      </c>
    </row>
    <row r="1181" spans="1:16" x14ac:dyDescent="0.3">
      <c r="A1181" s="1">
        <v>100252</v>
      </c>
      <c r="B1181" s="2">
        <v>45127</v>
      </c>
      <c r="C1181" s="1" t="s">
        <v>1216</v>
      </c>
      <c r="D1181" s="1" t="s">
        <v>66</v>
      </c>
      <c r="E1181" s="1" t="s">
        <v>17</v>
      </c>
      <c r="F1181" s="1" t="s">
        <v>1237</v>
      </c>
      <c r="G1181" s="1" t="s">
        <v>18</v>
      </c>
      <c r="H1181" s="1">
        <v>2</v>
      </c>
      <c r="I1181" s="1">
        <f>Table1[[#This Row],[Units_Sold]]*Table1[[#This Row],[Unit_Price]]</f>
        <v>226.78</v>
      </c>
      <c r="J1181" s="1">
        <v>113.39</v>
      </c>
      <c r="K1181" s="1">
        <v>20</v>
      </c>
      <c r="L1181" s="1">
        <v>181.42</v>
      </c>
      <c r="M1181" s="1">
        <v>50.12</v>
      </c>
      <c r="N1181" s="1">
        <v>25</v>
      </c>
      <c r="O1181" s="1" t="s">
        <v>19</v>
      </c>
      <c r="P1181" s="1" t="s">
        <v>43</v>
      </c>
    </row>
    <row r="1182" spans="1:16" x14ac:dyDescent="0.3">
      <c r="A1182" s="1">
        <v>100021</v>
      </c>
      <c r="B1182" s="2">
        <v>45289</v>
      </c>
      <c r="C1182" s="1" t="s">
        <v>1217</v>
      </c>
      <c r="D1182" s="1" t="s">
        <v>34</v>
      </c>
      <c r="E1182" s="1" t="s">
        <v>30</v>
      </c>
      <c r="F1182" s="1" t="s">
        <v>1239</v>
      </c>
      <c r="G1182" s="1" t="s">
        <v>18</v>
      </c>
      <c r="H1182" s="1">
        <v>2</v>
      </c>
      <c r="I1182" s="1">
        <f>Table1[[#This Row],[Units_Sold]]*Table1[[#This Row],[Unit_Price]]</f>
        <v>119.74</v>
      </c>
      <c r="J1182" s="1">
        <v>59.87</v>
      </c>
      <c r="K1182" s="1">
        <v>5</v>
      </c>
      <c r="L1182" s="1">
        <v>113.75</v>
      </c>
      <c r="M1182" s="1">
        <v>38.020000000000003</v>
      </c>
      <c r="N1182" s="1">
        <v>49</v>
      </c>
      <c r="O1182" s="1" t="s">
        <v>19</v>
      </c>
      <c r="P1182" s="1" t="s">
        <v>27</v>
      </c>
    </row>
    <row r="1183" spans="1:16" x14ac:dyDescent="0.3">
      <c r="A1183" s="1">
        <v>100459</v>
      </c>
      <c r="B1183" s="2">
        <v>45798</v>
      </c>
      <c r="C1183" s="1" t="s">
        <v>1218</v>
      </c>
      <c r="D1183" s="1" t="s">
        <v>45</v>
      </c>
      <c r="E1183" s="1" t="s">
        <v>30</v>
      </c>
      <c r="F1183" s="1" t="s">
        <v>1238</v>
      </c>
      <c r="G1183" s="1" t="s">
        <v>18</v>
      </c>
      <c r="H1183" s="1">
        <v>3</v>
      </c>
      <c r="I1183" s="1">
        <f>Table1[[#This Row],[Units_Sold]]*Table1[[#This Row],[Unit_Price]]</f>
        <v>45.96</v>
      </c>
      <c r="J1183" s="1">
        <v>15.32</v>
      </c>
      <c r="K1183" s="1">
        <v>5</v>
      </c>
      <c r="L1183" s="1">
        <v>43.66</v>
      </c>
      <c r="M1183" s="1">
        <v>12.27</v>
      </c>
      <c r="N1183" s="1">
        <v>23</v>
      </c>
      <c r="O1183" s="1" t="s">
        <v>26</v>
      </c>
      <c r="P1183" s="1" t="s">
        <v>27</v>
      </c>
    </row>
    <row r="1184" spans="1:16" x14ac:dyDescent="0.3">
      <c r="A1184" s="1">
        <v>100276</v>
      </c>
      <c r="B1184" s="2">
        <v>45214</v>
      </c>
      <c r="C1184" s="1" t="s">
        <v>1219</v>
      </c>
      <c r="D1184" s="1" t="s">
        <v>62</v>
      </c>
      <c r="E1184" s="1" t="s">
        <v>17</v>
      </c>
      <c r="F1184" s="1" t="s">
        <v>1240</v>
      </c>
      <c r="G1184" s="1" t="s">
        <v>18</v>
      </c>
      <c r="H1184" s="1">
        <v>2</v>
      </c>
      <c r="I1184" s="1">
        <f>Table1[[#This Row],[Units_Sold]]*Table1[[#This Row],[Unit_Price]]</f>
        <v>287.36</v>
      </c>
      <c r="J1184" s="1">
        <v>143.68</v>
      </c>
      <c r="K1184" s="1">
        <v>5</v>
      </c>
      <c r="L1184" s="1">
        <v>272.99</v>
      </c>
      <c r="M1184" s="1">
        <v>91.18</v>
      </c>
      <c r="N1184" s="1">
        <v>27</v>
      </c>
      <c r="O1184" s="1" t="s">
        <v>122</v>
      </c>
      <c r="P1184" s="1" t="s">
        <v>35</v>
      </c>
    </row>
    <row r="1185" spans="1:16" x14ac:dyDescent="0.3">
      <c r="A1185" s="1">
        <v>100955</v>
      </c>
      <c r="B1185" s="2">
        <v>45920</v>
      </c>
      <c r="C1185" s="1" t="s">
        <v>1220</v>
      </c>
      <c r="D1185" s="1" t="s">
        <v>59</v>
      </c>
      <c r="E1185" s="1" t="s">
        <v>17</v>
      </c>
      <c r="F1185" s="1" t="s">
        <v>1238</v>
      </c>
      <c r="G1185" s="1" t="s">
        <v>64</v>
      </c>
      <c r="H1185" s="1">
        <v>3</v>
      </c>
      <c r="I1185" s="1">
        <f>Table1[[#This Row],[Units_Sold]]*Table1[[#This Row],[Unit_Price]]</f>
        <v>90.929999999999993</v>
      </c>
      <c r="J1185" s="1">
        <v>30.31</v>
      </c>
      <c r="K1185" s="1">
        <v>5</v>
      </c>
      <c r="L1185" s="1">
        <v>86.38</v>
      </c>
      <c r="M1185" s="1">
        <v>20.21</v>
      </c>
      <c r="N1185" s="1">
        <v>30</v>
      </c>
      <c r="O1185" s="1" t="s">
        <v>26</v>
      </c>
      <c r="P1185" s="1" t="s">
        <v>81</v>
      </c>
    </row>
    <row r="1186" spans="1:16" x14ac:dyDescent="0.3">
      <c r="A1186" s="1">
        <v>100385</v>
      </c>
      <c r="B1186" s="2">
        <v>45427</v>
      </c>
      <c r="C1186" s="1" t="s">
        <v>1221</v>
      </c>
      <c r="D1186" s="1" t="s">
        <v>100</v>
      </c>
      <c r="E1186" s="1" t="s">
        <v>25</v>
      </c>
      <c r="F1186" s="1" t="s">
        <v>1240</v>
      </c>
      <c r="G1186" s="1" t="s">
        <v>31</v>
      </c>
      <c r="H1186" s="1">
        <v>3</v>
      </c>
      <c r="I1186" s="1">
        <f>Table1[[#This Row],[Units_Sold]]*Table1[[#This Row],[Unit_Price]]</f>
        <v>390.48</v>
      </c>
      <c r="J1186" s="1">
        <v>130.16</v>
      </c>
      <c r="K1186" s="1">
        <v>5</v>
      </c>
      <c r="L1186" s="1">
        <v>370.96</v>
      </c>
      <c r="M1186" s="1">
        <v>126.59</v>
      </c>
      <c r="N1186" s="1">
        <v>23</v>
      </c>
      <c r="O1186" s="1" t="s">
        <v>19</v>
      </c>
      <c r="P1186" s="1" t="s">
        <v>43</v>
      </c>
    </row>
    <row r="1187" spans="1:16" x14ac:dyDescent="0.3">
      <c r="A1187" s="1">
        <v>100805</v>
      </c>
      <c r="B1187" s="2">
        <v>45224</v>
      </c>
      <c r="C1187" s="1" t="s">
        <v>1222</v>
      </c>
      <c r="D1187" s="1" t="s">
        <v>29</v>
      </c>
      <c r="E1187" s="1" t="s">
        <v>30</v>
      </c>
      <c r="F1187" s="1" t="s">
        <v>1239</v>
      </c>
      <c r="G1187" s="1" t="s">
        <v>31</v>
      </c>
      <c r="H1187" s="1">
        <v>3</v>
      </c>
      <c r="I1187" s="1">
        <f>Table1[[#This Row],[Units_Sold]]*Table1[[#This Row],[Unit_Price]]</f>
        <v>49.17</v>
      </c>
      <c r="J1187" s="1">
        <v>16.39</v>
      </c>
      <c r="K1187" s="1">
        <v>5</v>
      </c>
      <c r="L1187" s="1">
        <v>46.71</v>
      </c>
      <c r="M1187" s="1">
        <v>12.19</v>
      </c>
      <c r="N1187" s="1">
        <v>23</v>
      </c>
      <c r="O1187" s="1" t="s">
        <v>26</v>
      </c>
      <c r="P1187" s="1" t="s">
        <v>35</v>
      </c>
    </row>
    <row r="1188" spans="1:16" x14ac:dyDescent="0.3">
      <c r="A1188" s="1">
        <v>100343</v>
      </c>
      <c r="B1188" s="2">
        <v>45866</v>
      </c>
      <c r="C1188" s="1" t="s">
        <v>1223</v>
      </c>
      <c r="D1188" s="1" t="s">
        <v>24</v>
      </c>
      <c r="E1188" s="1" t="s">
        <v>25</v>
      </c>
      <c r="F1188" s="1" t="s">
        <v>1241</v>
      </c>
      <c r="G1188" s="1" t="s">
        <v>48</v>
      </c>
      <c r="H1188" s="1">
        <v>2</v>
      </c>
      <c r="I1188" s="1">
        <f>Table1[[#This Row],[Units_Sold]]*Table1[[#This Row],[Unit_Price]]</f>
        <v>192.24</v>
      </c>
      <c r="J1188" s="1">
        <v>96.12</v>
      </c>
      <c r="K1188" s="1">
        <v>10</v>
      </c>
      <c r="L1188" s="1">
        <v>173.02</v>
      </c>
      <c r="M1188" s="1">
        <v>65.849999999999994</v>
      </c>
      <c r="N1188" s="1">
        <v>37</v>
      </c>
      <c r="O1188" s="1" t="s">
        <v>26</v>
      </c>
      <c r="P1188" s="1" t="s">
        <v>35</v>
      </c>
    </row>
    <row r="1189" spans="1:16" x14ac:dyDescent="0.3">
      <c r="A1189" s="1">
        <v>100769</v>
      </c>
      <c r="B1189" s="2">
        <v>45643</v>
      </c>
      <c r="C1189" s="1" t="s">
        <v>1224</v>
      </c>
      <c r="D1189" s="1" t="s">
        <v>87</v>
      </c>
      <c r="E1189" s="1" t="s">
        <v>25</v>
      </c>
      <c r="F1189" s="1" t="s">
        <v>1238</v>
      </c>
      <c r="G1189" s="1" t="s">
        <v>31</v>
      </c>
      <c r="H1189" s="1">
        <v>3</v>
      </c>
      <c r="I1189" s="1">
        <f>Table1[[#This Row],[Units_Sold]]*Table1[[#This Row],[Unit_Price]]</f>
        <v>239.13</v>
      </c>
      <c r="J1189" s="1">
        <v>79.709999999999994</v>
      </c>
      <c r="K1189" s="1">
        <v>5</v>
      </c>
      <c r="L1189" s="1">
        <v>227.17</v>
      </c>
      <c r="M1189" s="1">
        <v>58.6</v>
      </c>
      <c r="N1189" s="1">
        <v>35</v>
      </c>
      <c r="O1189" s="1" t="s">
        <v>19</v>
      </c>
      <c r="P1189" s="1" t="s">
        <v>35</v>
      </c>
    </row>
    <row r="1190" spans="1:16" x14ac:dyDescent="0.3">
      <c r="A1190" s="1">
        <v>100130</v>
      </c>
      <c r="B1190" s="2">
        <v>45608</v>
      </c>
      <c r="C1190" s="1" t="s">
        <v>1225</v>
      </c>
      <c r="D1190" s="1" t="s">
        <v>22</v>
      </c>
      <c r="E1190" s="1" t="s">
        <v>17</v>
      </c>
      <c r="F1190" s="1" t="s">
        <v>1241</v>
      </c>
      <c r="G1190" s="1" t="s">
        <v>64</v>
      </c>
      <c r="H1190" s="1">
        <v>2</v>
      </c>
      <c r="I1190" s="1">
        <f>Table1[[#This Row],[Units_Sold]]*Table1[[#This Row],[Unit_Price]]</f>
        <v>50.4</v>
      </c>
      <c r="J1190" s="1">
        <v>25.2</v>
      </c>
      <c r="K1190" s="1">
        <v>5</v>
      </c>
      <c r="L1190" s="1">
        <v>47.88</v>
      </c>
      <c r="M1190" s="1">
        <v>13.03</v>
      </c>
      <c r="N1190" s="1">
        <v>27</v>
      </c>
      <c r="O1190" s="1" t="s">
        <v>26</v>
      </c>
      <c r="P1190" s="1" t="s">
        <v>27</v>
      </c>
    </row>
    <row r="1191" spans="1:16" x14ac:dyDescent="0.3">
      <c r="A1191" s="1">
        <v>100871</v>
      </c>
      <c r="B1191" s="2">
        <v>45774</v>
      </c>
      <c r="C1191" s="1" t="s">
        <v>1226</v>
      </c>
      <c r="D1191" s="1" t="s">
        <v>100</v>
      </c>
      <c r="E1191" s="1" t="s">
        <v>25</v>
      </c>
      <c r="F1191" s="1" t="s">
        <v>1241</v>
      </c>
      <c r="G1191" s="1" t="s">
        <v>31</v>
      </c>
      <c r="H1191" s="1">
        <v>5</v>
      </c>
      <c r="I1191" s="1">
        <f>Table1[[#This Row],[Units_Sold]]*Table1[[#This Row],[Unit_Price]]</f>
        <v>638.04999999999995</v>
      </c>
      <c r="J1191" s="1">
        <v>127.61</v>
      </c>
      <c r="K1191" s="1">
        <v>5</v>
      </c>
      <c r="L1191" s="1">
        <v>606.15</v>
      </c>
      <c r="M1191" s="1">
        <v>149.27000000000001</v>
      </c>
      <c r="N1191" s="1">
        <v>30</v>
      </c>
      <c r="O1191" s="1" t="s">
        <v>19</v>
      </c>
      <c r="P1191" s="1" t="s">
        <v>81</v>
      </c>
    </row>
    <row r="1192" spans="1:16" x14ac:dyDescent="0.3">
      <c r="A1192" s="1">
        <v>101123</v>
      </c>
      <c r="B1192" s="2">
        <v>45861</v>
      </c>
      <c r="C1192" s="1" t="s">
        <v>1227</v>
      </c>
      <c r="D1192" s="1" t="s">
        <v>73</v>
      </c>
      <c r="E1192" s="1" t="s">
        <v>25</v>
      </c>
      <c r="F1192" s="1" t="s">
        <v>1238</v>
      </c>
      <c r="G1192" s="1" t="s">
        <v>18</v>
      </c>
      <c r="H1192" s="1">
        <v>3</v>
      </c>
      <c r="I1192" s="1">
        <f>Table1[[#This Row],[Units_Sold]]*Table1[[#This Row],[Unit_Price]]</f>
        <v>101.69999999999999</v>
      </c>
      <c r="J1192" s="1">
        <v>33.9</v>
      </c>
      <c r="K1192" s="1">
        <v>5</v>
      </c>
      <c r="L1192" s="1">
        <v>96.61</v>
      </c>
      <c r="M1192" s="1">
        <v>33.520000000000003</v>
      </c>
      <c r="N1192" s="1">
        <v>20</v>
      </c>
      <c r="O1192" s="1" t="s">
        <v>26</v>
      </c>
      <c r="P1192" s="1" t="s">
        <v>27</v>
      </c>
    </row>
    <row r="1193" spans="1:16" x14ac:dyDescent="0.3">
      <c r="A1193" s="1">
        <v>100087</v>
      </c>
      <c r="B1193" s="2">
        <v>45708</v>
      </c>
      <c r="C1193" s="1" t="s">
        <v>1228</v>
      </c>
      <c r="D1193" s="1" t="s">
        <v>42</v>
      </c>
      <c r="E1193" s="1" t="s">
        <v>25</v>
      </c>
      <c r="F1193" s="1" t="s">
        <v>1237</v>
      </c>
      <c r="G1193" s="1" t="s">
        <v>48</v>
      </c>
      <c r="H1193" s="1">
        <v>2</v>
      </c>
      <c r="I1193" s="1">
        <f>Table1[[#This Row],[Units_Sold]]*Table1[[#This Row],[Unit_Price]]</f>
        <v>299.7</v>
      </c>
      <c r="J1193" s="1">
        <v>149.85</v>
      </c>
      <c r="K1193" s="1">
        <v>5</v>
      </c>
      <c r="L1193" s="1">
        <v>284.70999999999998</v>
      </c>
      <c r="M1193" s="1">
        <v>83.89</v>
      </c>
      <c r="N1193" s="1">
        <v>21</v>
      </c>
      <c r="O1193" s="1" t="s">
        <v>26</v>
      </c>
      <c r="P1193" s="1" t="s">
        <v>32</v>
      </c>
    </row>
    <row r="1194" spans="1:16" x14ac:dyDescent="0.3">
      <c r="A1194" s="1">
        <v>100330</v>
      </c>
      <c r="B1194" s="2">
        <v>45262</v>
      </c>
      <c r="C1194" s="1" t="s">
        <v>1229</v>
      </c>
      <c r="D1194" s="1" t="s">
        <v>24</v>
      </c>
      <c r="E1194" s="1" t="s">
        <v>25</v>
      </c>
      <c r="F1194" s="1" t="s">
        <v>1241</v>
      </c>
      <c r="G1194" s="1" t="s">
        <v>18</v>
      </c>
      <c r="H1194" s="1">
        <v>4</v>
      </c>
      <c r="I1194" s="1">
        <f>Table1[[#This Row],[Units_Sold]]*Table1[[#This Row],[Unit_Price]]</f>
        <v>382.52</v>
      </c>
      <c r="J1194" s="1">
        <v>95.63</v>
      </c>
      <c r="K1194" s="1">
        <v>0</v>
      </c>
      <c r="L1194" s="1">
        <v>382.52</v>
      </c>
      <c r="M1194" s="1">
        <v>105.82</v>
      </c>
      <c r="N1194" s="1">
        <v>32</v>
      </c>
      <c r="O1194" s="1" t="s">
        <v>19</v>
      </c>
      <c r="P1194" s="1" t="s">
        <v>20</v>
      </c>
    </row>
    <row r="1195" spans="1:16" x14ac:dyDescent="0.3">
      <c r="A1195" s="1">
        <v>100466</v>
      </c>
      <c r="B1195" s="2">
        <v>45483</v>
      </c>
      <c r="C1195" s="1" t="s">
        <v>1230</v>
      </c>
      <c r="D1195" s="1" t="s">
        <v>45</v>
      </c>
      <c r="E1195" s="1" t="s">
        <v>30</v>
      </c>
      <c r="F1195" s="1" t="s">
        <v>1237</v>
      </c>
      <c r="G1195" s="1" t="s">
        <v>18</v>
      </c>
      <c r="H1195" s="1">
        <v>3</v>
      </c>
      <c r="I1195" s="1">
        <f>Table1[[#This Row],[Units_Sold]]*Table1[[#This Row],[Unit_Price]]</f>
        <v>43.62</v>
      </c>
      <c r="J1195" s="1">
        <v>14.54</v>
      </c>
      <c r="K1195" s="1">
        <v>5</v>
      </c>
      <c r="L1195" s="1">
        <v>41.44</v>
      </c>
      <c r="M1195" s="1">
        <v>13.54</v>
      </c>
      <c r="N1195" s="1">
        <v>36</v>
      </c>
      <c r="O1195" s="1" t="s">
        <v>26</v>
      </c>
      <c r="P1195" s="1" t="s">
        <v>20</v>
      </c>
    </row>
    <row r="1196" spans="1:16" x14ac:dyDescent="0.3">
      <c r="A1196" s="1">
        <v>100121</v>
      </c>
      <c r="B1196" s="2">
        <v>45732</v>
      </c>
      <c r="C1196" s="1" t="s">
        <v>1231</v>
      </c>
      <c r="D1196" s="1" t="s">
        <v>66</v>
      </c>
      <c r="E1196" s="1" t="s">
        <v>17</v>
      </c>
      <c r="F1196" s="1" t="s">
        <v>1241</v>
      </c>
      <c r="G1196" s="1" t="s">
        <v>31</v>
      </c>
      <c r="H1196" s="1">
        <v>4</v>
      </c>
      <c r="I1196" s="1">
        <f>Table1[[#This Row],[Units_Sold]]*Table1[[#This Row],[Unit_Price]]</f>
        <v>416.44</v>
      </c>
      <c r="J1196" s="1">
        <v>104.11</v>
      </c>
      <c r="K1196" s="1">
        <v>20</v>
      </c>
      <c r="L1196" s="1">
        <v>333.15</v>
      </c>
      <c r="M1196" s="1">
        <v>86.57</v>
      </c>
      <c r="N1196" s="1">
        <v>43</v>
      </c>
      <c r="O1196" s="1" t="s">
        <v>26</v>
      </c>
      <c r="P1196" s="1" t="s">
        <v>51</v>
      </c>
    </row>
    <row r="1197" spans="1:16" x14ac:dyDescent="0.3">
      <c r="A1197" s="1">
        <v>101044</v>
      </c>
      <c r="B1197" s="2">
        <v>45640</v>
      </c>
      <c r="C1197" s="1" t="s">
        <v>1232</v>
      </c>
      <c r="D1197" s="1" t="s">
        <v>68</v>
      </c>
      <c r="E1197" s="1" t="s">
        <v>25</v>
      </c>
      <c r="F1197" s="1" t="s">
        <v>1240</v>
      </c>
      <c r="G1197" s="1" t="s">
        <v>18</v>
      </c>
      <c r="H1197" s="1">
        <v>2</v>
      </c>
      <c r="I1197" s="1">
        <f>Table1[[#This Row],[Units_Sold]]*Table1[[#This Row],[Unit_Price]]</f>
        <v>440.24</v>
      </c>
      <c r="J1197" s="1">
        <v>220.12</v>
      </c>
      <c r="K1197" s="1">
        <v>5</v>
      </c>
      <c r="L1197" s="1">
        <v>418.23</v>
      </c>
      <c r="M1197" s="1">
        <v>108.68</v>
      </c>
      <c r="N1197" s="1">
        <v>36</v>
      </c>
      <c r="O1197" s="1" t="s">
        <v>19</v>
      </c>
      <c r="P1197" s="1" t="s">
        <v>51</v>
      </c>
    </row>
    <row r="1198" spans="1:16" x14ac:dyDescent="0.3">
      <c r="A1198" s="1">
        <v>101095</v>
      </c>
      <c r="B1198" s="2">
        <v>45089</v>
      </c>
      <c r="C1198" s="1" t="s">
        <v>1233</v>
      </c>
      <c r="D1198" s="1" t="s">
        <v>77</v>
      </c>
      <c r="E1198" s="1" t="s">
        <v>30</v>
      </c>
      <c r="F1198" s="1" t="s">
        <v>1241</v>
      </c>
      <c r="G1198" s="1" t="s">
        <v>18</v>
      </c>
      <c r="H1198" s="1">
        <v>2</v>
      </c>
      <c r="I1198" s="1">
        <f>Table1[[#This Row],[Units_Sold]]*Table1[[#This Row],[Unit_Price]]</f>
        <v>91.94</v>
      </c>
      <c r="J1198" s="1">
        <v>45.97</v>
      </c>
      <c r="K1198" s="1">
        <v>5</v>
      </c>
      <c r="L1198" s="1">
        <v>87.34</v>
      </c>
      <c r="M1198" s="1">
        <v>28.46</v>
      </c>
      <c r="N1198" s="1">
        <v>40</v>
      </c>
      <c r="O1198" s="1" t="s">
        <v>26</v>
      </c>
      <c r="P1198" s="1" t="s">
        <v>27</v>
      </c>
    </row>
    <row r="1199" spans="1:16" x14ac:dyDescent="0.3">
      <c r="A1199" s="1">
        <v>101130</v>
      </c>
      <c r="B1199" s="2">
        <v>45096</v>
      </c>
      <c r="C1199" s="1" t="s">
        <v>1234</v>
      </c>
      <c r="D1199" s="1" t="s">
        <v>73</v>
      </c>
      <c r="E1199" s="1" t="s">
        <v>25</v>
      </c>
      <c r="F1199" s="1" t="s">
        <v>1238</v>
      </c>
      <c r="G1199" s="1" t="s">
        <v>48</v>
      </c>
      <c r="H1199" s="1">
        <v>3</v>
      </c>
      <c r="I1199" s="1">
        <f>Table1[[#This Row],[Units_Sold]]*Table1[[#This Row],[Unit_Price]]</f>
        <v>93</v>
      </c>
      <c r="J1199" s="1">
        <v>31</v>
      </c>
      <c r="K1199" s="1">
        <v>0</v>
      </c>
      <c r="L1199" s="1">
        <v>93</v>
      </c>
      <c r="M1199" s="1">
        <v>28.22</v>
      </c>
      <c r="N1199" s="1">
        <v>34</v>
      </c>
      <c r="O1199" s="1" t="s">
        <v>26</v>
      </c>
      <c r="P1199" s="1" t="s">
        <v>20</v>
      </c>
    </row>
    <row r="1200" spans="1:16" x14ac:dyDescent="0.3">
      <c r="A1200" s="1">
        <v>100860</v>
      </c>
      <c r="B1200" s="2">
        <v>45172</v>
      </c>
      <c r="C1200" s="1" t="s">
        <v>1235</v>
      </c>
      <c r="D1200" s="1" t="s">
        <v>100</v>
      </c>
      <c r="E1200" s="1" t="s">
        <v>25</v>
      </c>
      <c r="F1200" s="1" t="s">
        <v>1238</v>
      </c>
      <c r="G1200" s="1" t="s">
        <v>31</v>
      </c>
      <c r="H1200" s="1">
        <v>4</v>
      </c>
      <c r="I1200" s="1">
        <f>Table1[[#This Row],[Units_Sold]]*Table1[[#This Row],[Unit_Price]]</f>
        <v>571.08000000000004</v>
      </c>
      <c r="J1200" s="1">
        <v>142.77000000000001</v>
      </c>
      <c r="K1200" s="1">
        <v>0</v>
      </c>
      <c r="L1200" s="1">
        <v>571.08000000000004</v>
      </c>
      <c r="M1200" s="1">
        <v>170.99</v>
      </c>
      <c r="N1200" s="1">
        <v>40</v>
      </c>
      <c r="O1200" s="1" t="s">
        <v>26</v>
      </c>
      <c r="P1200" s="1" t="s">
        <v>27</v>
      </c>
    </row>
    <row r="1201" spans="1:16" x14ac:dyDescent="0.3">
      <c r="A1201" s="1">
        <v>101126</v>
      </c>
      <c r="B1201" s="2">
        <v>45875</v>
      </c>
      <c r="C1201" s="1" t="s">
        <v>1236</v>
      </c>
      <c r="D1201" s="1" t="s">
        <v>87</v>
      </c>
      <c r="E1201" s="1" t="s">
        <v>25</v>
      </c>
      <c r="F1201" s="1" t="s">
        <v>1241</v>
      </c>
      <c r="G1201" s="1" t="s">
        <v>18</v>
      </c>
      <c r="H1201" s="1">
        <v>6</v>
      </c>
      <c r="I1201" s="1">
        <f>Table1[[#This Row],[Units_Sold]]*Table1[[#This Row],[Unit_Price]]</f>
        <v>432.18</v>
      </c>
      <c r="J1201" s="1">
        <v>72.03</v>
      </c>
      <c r="K1201" s="1">
        <v>20</v>
      </c>
      <c r="L1201" s="1">
        <v>345.74</v>
      </c>
      <c r="M1201" s="1">
        <v>94.24</v>
      </c>
      <c r="N1201" s="1">
        <v>31</v>
      </c>
      <c r="O1201" s="1" t="s">
        <v>26</v>
      </c>
      <c r="P1201"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D3:W30"/>
  <sheetViews>
    <sheetView tabSelected="1" topLeftCell="Y15" zoomScale="118" workbookViewId="0">
      <selection activeCell="S6" sqref="S6"/>
    </sheetView>
  </sheetViews>
  <sheetFormatPr defaultRowHeight="14.4" x14ac:dyDescent="0.3"/>
  <cols>
    <col min="2" max="3" width="12.44140625" bestFit="1" customWidth="1"/>
    <col min="4" max="4" width="13.33203125" bestFit="1" customWidth="1"/>
    <col min="5" max="5" width="16.6640625" bestFit="1" customWidth="1"/>
    <col min="6" max="6" width="14.44140625" bestFit="1" customWidth="1"/>
    <col min="7" max="7" width="13.33203125" bestFit="1" customWidth="1"/>
    <col min="8" max="8" width="9" bestFit="1" customWidth="1"/>
    <col min="9" max="9" width="12.44140625" bestFit="1" customWidth="1"/>
    <col min="10" max="10" width="18.109375" bestFit="1" customWidth="1"/>
    <col min="13" max="13" width="12.44140625" bestFit="1" customWidth="1"/>
    <col min="14" max="14" width="16.6640625" bestFit="1" customWidth="1"/>
    <col min="16" max="16" width="12.44140625" bestFit="1" customWidth="1"/>
    <col min="17" max="17" width="16.6640625" bestFit="1" customWidth="1"/>
    <col min="19" max="19" width="12.44140625" bestFit="1" customWidth="1"/>
    <col min="20" max="20" width="12" bestFit="1" customWidth="1"/>
    <col min="22" max="22" width="12.44140625" bestFit="1" customWidth="1"/>
    <col min="23" max="23" width="16.6640625" bestFit="1" customWidth="1"/>
  </cols>
  <sheetData>
    <row r="3" spans="4:23" x14ac:dyDescent="0.3">
      <c r="D3" t="s">
        <v>1245</v>
      </c>
    </row>
    <row r="4" spans="4:23" x14ac:dyDescent="0.3">
      <c r="D4" s="11">
        <v>3550</v>
      </c>
    </row>
    <row r="5" spans="4:23" x14ac:dyDescent="0.3">
      <c r="F5" s="12" t="s">
        <v>1242</v>
      </c>
      <c r="G5" s="7" t="s">
        <v>1244</v>
      </c>
      <c r="I5" s="5" t="s">
        <v>1242</v>
      </c>
      <c r="J5" t="s">
        <v>1246</v>
      </c>
      <c r="M5" s="5" t="s">
        <v>1242</v>
      </c>
      <c r="N5" t="s">
        <v>1248</v>
      </c>
      <c r="P5" s="5" t="s">
        <v>1242</v>
      </c>
      <c r="Q5" t="s">
        <v>1248</v>
      </c>
      <c r="S5" s="5" t="s">
        <v>1242</v>
      </c>
      <c r="T5" t="s">
        <v>1244</v>
      </c>
      <c r="V5" s="5" t="s">
        <v>1242</v>
      </c>
      <c r="W5" t="s">
        <v>1248</v>
      </c>
    </row>
    <row r="6" spans="4:23" x14ac:dyDescent="0.3">
      <c r="F6" s="13" t="s">
        <v>30</v>
      </c>
      <c r="G6" s="7">
        <v>10185.759999999998</v>
      </c>
      <c r="I6" s="4" t="s">
        <v>18</v>
      </c>
      <c r="J6">
        <v>549</v>
      </c>
      <c r="M6" s="4" t="s">
        <v>18</v>
      </c>
      <c r="N6">
        <v>141095.75999999995</v>
      </c>
      <c r="P6" s="4" t="s">
        <v>18</v>
      </c>
      <c r="Q6">
        <v>141095.76</v>
      </c>
      <c r="S6" s="4" t="s">
        <v>1237</v>
      </c>
      <c r="T6">
        <v>25519.30999999999</v>
      </c>
      <c r="V6" s="4" t="s">
        <v>1249</v>
      </c>
      <c r="W6">
        <v>79423.06</v>
      </c>
    </row>
    <row r="7" spans="4:23" x14ac:dyDescent="0.3">
      <c r="D7" s="7" t="s">
        <v>1244</v>
      </c>
      <c r="F7" s="13" t="s">
        <v>17</v>
      </c>
      <c r="G7" s="7">
        <v>22056.459999999981</v>
      </c>
      <c r="I7" s="6" t="s">
        <v>1237</v>
      </c>
      <c r="J7">
        <v>155</v>
      </c>
      <c r="M7" s="4" t="s">
        <v>48</v>
      </c>
      <c r="N7">
        <v>36414.049999999996</v>
      </c>
      <c r="P7" s="6" t="s">
        <v>1241</v>
      </c>
      <c r="Q7">
        <v>42968.87999999999</v>
      </c>
      <c r="S7" s="4" t="s">
        <v>1241</v>
      </c>
      <c r="T7">
        <v>24051.610000000015</v>
      </c>
      <c r="V7" s="4" t="s">
        <v>1250</v>
      </c>
      <c r="W7">
        <v>86367.140000000029</v>
      </c>
    </row>
    <row r="8" spans="4:23" x14ac:dyDescent="0.3">
      <c r="D8" s="7">
        <v>85069.85000000002</v>
      </c>
      <c r="F8" s="13" t="s">
        <v>25</v>
      </c>
      <c r="G8" s="7">
        <v>52827.63</v>
      </c>
      <c r="I8" s="6" t="s">
        <v>1241</v>
      </c>
      <c r="J8">
        <v>174</v>
      </c>
      <c r="M8" s="4" t="s">
        <v>31</v>
      </c>
      <c r="N8">
        <v>109014.06999999991</v>
      </c>
      <c r="P8" s="6" t="s">
        <v>1237</v>
      </c>
      <c r="Q8">
        <v>40491.62999999999</v>
      </c>
      <c r="S8" s="4" t="s">
        <v>1239</v>
      </c>
      <c r="T8">
        <v>9846.8499999999985</v>
      </c>
      <c r="V8" s="4" t="s">
        <v>1251</v>
      </c>
      <c r="W8">
        <v>78594.490000000005</v>
      </c>
    </row>
    <row r="9" spans="4:23" x14ac:dyDescent="0.3">
      <c r="F9" s="14" t="s">
        <v>19</v>
      </c>
      <c r="G9" s="7">
        <v>22836.05000000001</v>
      </c>
      <c r="I9" s="6" t="s">
        <v>1239</v>
      </c>
      <c r="J9">
        <v>60</v>
      </c>
      <c r="M9" s="4" t="s">
        <v>64</v>
      </c>
      <c r="N9">
        <v>19491.28999999999</v>
      </c>
      <c r="P9" s="6" t="s">
        <v>1238</v>
      </c>
      <c r="Q9">
        <v>33207.760000000002</v>
      </c>
      <c r="S9" s="4" t="s">
        <v>1240</v>
      </c>
      <c r="T9">
        <v>5248.5199999999995</v>
      </c>
      <c r="V9" s="4" t="s">
        <v>1252</v>
      </c>
      <c r="W9">
        <v>61630.479999999981</v>
      </c>
    </row>
    <row r="10" spans="4:23" x14ac:dyDescent="0.3">
      <c r="F10" s="14" t="s">
        <v>26</v>
      </c>
      <c r="G10" s="7">
        <v>29296.449999999993</v>
      </c>
      <c r="I10" s="6" t="s">
        <v>1240</v>
      </c>
      <c r="J10">
        <v>29</v>
      </c>
      <c r="M10" s="4" t="s">
        <v>1243</v>
      </c>
      <c r="N10">
        <v>306015.16999999981</v>
      </c>
      <c r="P10" s="6" t="s">
        <v>1239</v>
      </c>
      <c r="Q10">
        <v>17387.470000000012</v>
      </c>
      <c r="S10" s="4" t="s">
        <v>1238</v>
      </c>
      <c r="T10">
        <v>20403.559999999994</v>
      </c>
      <c r="V10" s="4" t="s">
        <v>1243</v>
      </c>
      <c r="W10">
        <v>306015.17</v>
      </c>
    </row>
    <row r="11" spans="4:23" x14ac:dyDescent="0.3">
      <c r="F11" s="14" t="s">
        <v>122</v>
      </c>
      <c r="G11" s="7">
        <v>695.12999999999988</v>
      </c>
      <c r="I11" s="6" t="s">
        <v>1238</v>
      </c>
      <c r="J11">
        <v>131</v>
      </c>
      <c r="P11" s="6" t="s">
        <v>1240</v>
      </c>
      <c r="Q11">
        <v>7040.0199999999986</v>
      </c>
      <c r="S11" s="4" t="s">
        <v>1243</v>
      </c>
      <c r="T11">
        <v>85069.849999999991</v>
      </c>
    </row>
    <row r="12" spans="4:23" x14ac:dyDescent="0.3">
      <c r="F12" s="13" t="s">
        <v>1243</v>
      </c>
      <c r="G12" s="7">
        <v>85069.849999999991</v>
      </c>
      <c r="I12" s="4" t="s">
        <v>48</v>
      </c>
      <c r="J12">
        <v>141</v>
      </c>
      <c r="P12" s="4" t="s">
        <v>48</v>
      </c>
      <c r="Q12">
        <v>36414.049999999996</v>
      </c>
    </row>
    <row r="13" spans="4:23" x14ac:dyDescent="0.3">
      <c r="H13" s="4"/>
      <c r="I13" s="6" t="s">
        <v>1237</v>
      </c>
      <c r="J13">
        <v>37</v>
      </c>
      <c r="P13" s="6" t="s">
        <v>1237</v>
      </c>
      <c r="Q13">
        <v>11838.969999999998</v>
      </c>
      <c r="S13" s="4" t="s">
        <v>1237</v>
      </c>
      <c r="T13">
        <v>25519.30999999999</v>
      </c>
    </row>
    <row r="14" spans="4:23" x14ac:dyDescent="0.3">
      <c r="H14" s="4"/>
      <c r="I14" s="6" t="s">
        <v>1241</v>
      </c>
      <c r="J14">
        <v>52</v>
      </c>
      <c r="P14" s="6" t="s">
        <v>1241</v>
      </c>
      <c r="Q14">
        <v>10930.54</v>
      </c>
      <c r="S14" s="4" t="s">
        <v>1241</v>
      </c>
      <c r="T14">
        <v>24051.610000000015</v>
      </c>
    </row>
    <row r="15" spans="4:23" x14ac:dyDescent="0.3">
      <c r="H15" s="4"/>
      <c r="I15" s="6" t="s">
        <v>1239</v>
      </c>
      <c r="J15">
        <v>12</v>
      </c>
      <c r="P15" s="6" t="s">
        <v>1238</v>
      </c>
      <c r="Q15">
        <v>6467.04</v>
      </c>
      <c r="S15" s="4" t="s">
        <v>1238</v>
      </c>
      <c r="T15">
        <v>20403.559999999994</v>
      </c>
    </row>
    <row r="16" spans="4:23" x14ac:dyDescent="0.3">
      <c r="H16" s="4"/>
      <c r="I16" s="6" t="s">
        <v>1240</v>
      </c>
      <c r="J16">
        <v>11</v>
      </c>
      <c r="P16" s="6" t="s">
        <v>1239</v>
      </c>
      <c r="Q16">
        <v>4703.0999999999995</v>
      </c>
      <c r="S16" s="4" t="s">
        <v>1239</v>
      </c>
      <c r="T16">
        <v>9846.8499999999985</v>
      </c>
    </row>
    <row r="17" spans="8:20" x14ac:dyDescent="0.3">
      <c r="H17" s="4"/>
      <c r="I17" s="6" t="s">
        <v>1238</v>
      </c>
      <c r="J17">
        <v>29</v>
      </c>
      <c r="P17" s="6" t="s">
        <v>1240</v>
      </c>
      <c r="Q17">
        <v>2474.3999999999992</v>
      </c>
      <c r="S17" s="4" t="s">
        <v>1240</v>
      </c>
      <c r="T17">
        <v>5248.5199999999995</v>
      </c>
    </row>
    <row r="18" spans="8:20" x14ac:dyDescent="0.3">
      <c r="I18" s="4" t="s">
        <v>31</v>
      </c>
      <c r="J18">
        <v>422</v>
      </c>
      <c r="P18" s="4" t="s">
        <v>31</v>
      </c>
      <c r="Q18">
        <v>109014.07</v>
      </c>
    </row>
    <row r="19" spans="8:20" x14ac:dyDescent="0.3">
      <c r="I19" s="6" t="s">
        <v>1237</v>
      </c>
      <c r="J19">
        <v>119</v>
      </c>
      <c r="P19" s="6" t="s">
        <v>1237</v>
      </c>
      <c r="Q19">
        <v>34355.640000000014</v>
      </c>
    </row>
    <row r="20" spans="8:20" x14ac:dyDescent="0.3">
      <c r="I20" s="6" t="s">
        <v>1241</v>
      </c>
      <c r="J20">
        <v>117</v>
      </c>
      <c r="L20">
        <f>COUNT(I19:I23)</f>
        <v>0</v>
      </c>
      <c r="P20" s="6" t="s">
        <v>1238</v>
      </c>
      <c r="Q20">
        <v>27640.579999999994</v>
      </c>
    </row>
    <row r="21" spans="8:20" x14ac:dyDescent="0.3">
      <c r="I21" s="6" t="s">
        <v>1239</v>
      </c>
      <c r="J21">
        <v>43</v>
      </c>
      <c r="L21">
        <f>COUNTA(I19:I23)</f>
        <v>5</v>
      </c>
      <c r="P21" s="6" t="s">
        <v>1241</v>
      </c>
      <c r="Q21">
        <v>27130.17</v>
      </c>
    </row>
    <row r="22" spans="8:20" x14ac:dyDescent="0.3">
      <c r="I22" s="6" t="s">
        <v>1240</v>
      </c>
      <c r="J22">
        <v>38</v>
      </c>
      <c r="P22" s="6" t="s">
        <v>1239</v>
      </c>
      <c r="Q22">
        <v>11459.630000000001</v>
      </c>
    </row>
    <row r="23" spans="8:20" x14ac:dyDescent="0.3">
      <c r="I23" s="6" t="s">
        <v>1238</v>
      </c>
      <c r="J23">
        <v>105</v>
      </c>
      <c r="P23" s="6" t="s">
        <v>1240</v>
      </c>
      <c r="Q23">
        <v>8428.0500000000011</v>
      </c>
    </row>
    <row r="24" spans="8:20" x14ac:dyDescent="0.3">
      <c r="I24" s="4" t="s">
        <v>64</v>
      </c>
      <c r="J24">
        <v>88</v>
      </c>
      <c r="P24" s="4" t="s">
        <v>64</v>
      </c>
      <c r="Q24">
        <v>19491.29</v>
      </c>
    </row>
    <row r="25" spans="8:20" x14ac:dyDescent="0.3">
      <c r="I25" s="6" t="s">
        <v>1237</v>
      </c>
      <c r="J25">
        <v>25</v>
      </c>
      <c r="P25" s="6" t="s">
        <v>1241</v>
      </c>
      <c r="Q25">
        <v>6015.28</v>
      </c>
    </row>
    <row r="26" spans="8:20" x14ac:dyDescent="0.3">
      <c r="I26" s="6" t="s">
        <v>1241</v>
      </c>
      <c r="J26">
        <v>28</v>
      </c>
      <c r="P26" s="6" t="s">
        <v>1238</v>
      </c>
      <c r="Q26">
        <v>5835.1500000000005</v>
      </c>
    </row>
    <row r="27" spans="8:20" x14ac:dyDescent="0.3">
      <c r="I27" s="6" t="s">
        <v>1239</v>
      </c>
      <c r="J27">
        <v>8</v>
      </c>
      <c r="P27" s="6" t="s">
        <v>1237</v>
      </c>
      <c r="Q27">
        <v>5359.93</v>
      </c>
    </row>
    <row r="28" spans="8:20" x14ac:dyDescent="0.3">
      <c r="I28" s="6" t="s">
        <v>1240</v>
      </c>
      <c r="J28">
        <v>3</v>
      </c>
      <c r="P28" s="6" t="s">
        <v>1239</v>
      </c>
      <c r="Q28">
        <v>1643.7600000000002</v>
      </c>
    </row>
    <row r="29" spans="8:20" x14ac:dyDescent="0.3">
      <c r="I29" s="6" t="s">
        <v>1238</v>
      </c>
      <c r="J29">
        <v>24</v>
      </c>
      <c r="P29" s="6" t="s">
        <v>1240</v>
      </c>
      <c r="Q29">
        <v>637.17000000000007</v>
      </c>
    </row>
    <row r="30" spans="8:20" x14ac:dyDescent="0.3">
      <c r="I30" s="4" t="s">
        <v>1243</v>
      </c>
      <c r="J30">
        <v>1200</v>
      </c>
      <c r="P30" s="4" t="s">
        <v>1243</v>
      </c>
      <c r="Q30">
        <v>306015.1700000001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A1:AW10"/>
  <sheetViews>
    <sheetView showGridLines="0" zoomScale="56" workbookViewId="0">
      <selection activeCell="G64" sqref="G64"/>
    </sheetView>
  </sheetViews>
  <sheetFormatPr defaultRowHeight="14.4" x14ac:dyDescent="0.3"/>
  <cols>
    <col min="8" max="8" width="58.88671875" customWidth="1"/>
    <col min="14" max="14" width="34.44140625" customWidth="1"/>
  </cols>
  <sheetData>
    <row r="1" spans="1:49"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9"/>
      <c r="AS1" s="9"/>
      <c r="AT1" s="9"/>
      <c r="AU1" s="9"/>
      <c r="AV1" s="9"/>
      <c r="AW1" s="9"/>
    </row>
    <row r="2" spans="1:49" x14ac:dyDescent="0.3">
      <c r="A2" s="8"/>
      <c r="B2" s="8"/>
      <c r="C2" s="8"/>
      <c r="D2" s="8"/>
      <c r="E2" s="8"/>
      <c r="F2" s="8"/>
      <c r="G2" s="19" t="s">
        <v>1253</v>
      </c>
      <c r="H2" s="20"/>
      <c r="I2" s="20"/>
      <c r="J2" s="20"/>
      <c r="K2" s="20"/>
      <c r="L2" s="20"/>
      <c r="M2" s="20"/>
      <c r="N2" s="20"/>
      <c r="O2" s="20"/>
      <c r="P2" s="8"/>
      <c r="Q2" s="8"/>
      <c r="R2" s="8"/>
      <c r="S2" s="8"/>
      <c r="T2" s="8"/>
      <c r="U2" s="8"/>
      <c r="V2" s="8"/>
      <c r="W2" s="8"/>
      <c r="X2" s="8"/>
      <c r="Y2" s="8"/>
      <c r="Z2" s="8"/>
      <c r="AA2" s="8"/>
      <c r="AB2" s="8"/>
      <c r="AC2" s="8"/>
      <c r="AD2" s="8"/>
      <c r="AE2" s="8"/>
      <c r="AF2" s="8"/>
      <c r="AG2" s="8"/>
      <c r="AH2" s="8"/>
      <c r="AI2" s="8"/>
      <c r="AJ2" s="8"/>
      <c r="AK2" s="8"/>
      <c r="AL2" s="8"/>
      <c r="AM2" s="8"/>
      <c r="AN2" s="8"/>
      <c r="AO2" s="8"/>
      <c r="AP2" s="8"/>
      <c r="AQ2" s="8"/>
      <c r="AR2" s="9"/>
      <c r="AS2" s="9"/>
      <c r="AT2" s="9"/>
      <c r="AU2" s="9"/>
      <c r="AV2" s="9"/>
      <c r="AW2" s="9"/>
    </row>
    <row r="3" spans="1:49" x14ac:dyDescent="0.3">
      <c r="A3" s="8"/>
      <c r="B3" s="8"/>
      <c r="C3" s="8"/>
      <c r="D3" s="8"/>
      <c r="E3" s="8"/>
      <c r="F3" s="8"/>
      <c r="G3" s="20"/>
      <c r="H3" s="20"/>
      <c r="I3" s="20"/>
      <c r="J3" s="20"/>
      <c r="K3" s="20"/>
      <c r="L3" s="20"/>
      <c r="M3" s="20"/>
      <c r="N3" s="20"/>
      <c r="O3" s="20"/>
      <c r="P3" s="8"/>
      <c r="Q3" s="8"/>
      <c r="R3" s="8"/>
      <c r="S3" s="8"/>
      <c r="T3" s="8"/>
      <c r="U3" s="8"/>
      <c r="V3" s="8"/>
      <c r="W3" s="8"/>
      <c r="X3" s="8"/>
      <c r="Y3" s="8"/>
      <c r="Z3" s="8"/>
      <c r="AA3" s="8"/>
      <c r="AB3" s="8"/>
      <c r="AC3" s="8"/>
      <c r="AD3" s="8"/>
      <c r="AE3" s="8"/>
      <c r="AF3" s="8"/>
      <c r="AG3" s="8"/>
      <c r="AH3" s="8"/>
      <c r="AI3" s="8"/>
      <c r="AJ3" s="8"/>
      <c r="AK3" s="8"/>
      <c r="AL3" s="8"/>
      <c r="AM3" s="8"/>
      <c r="AN3" s="8"/>
      <c r="AO3" s="8"/>
      <c r="AP3" s="8"/>
      <c r="AQ3" s="8"/>
      <c r="AR3" s="9"/>
      <c r="AS3" s="9"/>
      <c r="AT3" s="9"/>
      <c r="AU3" s="9"/>
      <c r="AV3" s="9"/>
      <c r="AW3" s="9"/>
    </row>
    <row r="4" spans="1:49" x14ac:dyDescent="0.3">
      <c r="A4" s="8"/>
      <c r="B4" s="8"/>
      <c r="C4" s="8"/>
      <c r="D4" s="8"/>
      <c r="E4" s="8"/>
      <c r="F4" s="8"/>
      <c r="G4" s="20"/>
      <c r="H4" s="20"/>
      <c r="I4" s="20"/>
      <c r="J4" s="20"/>
      <c r="K4" s="20"/>
      <c r="L4" s="20"/>
      <c r="M4" s="20"/>
      <c r="N4" s="20"/>
      <c r="O4" s="20"/>
      <c r="P4" s="8"/>
      <c r="Q4" s="8"/>
      <c r="R4" s="8"/>
      <c r="S4" s="8"/>
      <c r="T4" s="8"/>
      <c r="U4" s="8"/>
      <c r="V4" s="8"/>
      <c r="W4" s="8"/>
      <c r="X4" s="8"/>
      <c r="Y4" s="8"/>
      <c r="Z4" s="8"/>
      <c r="AA4" s="8"/>
      <c r="AB4" s="8"/>
      <c r="AC4" s="8"/>
      <c r="AD4" s="8"/>
      <c r="AE4" s="8"/>
      <c r="AF4" s="8"/>
      <c r="AG4" s="8"/>
      <c r="AH4" s="8"/>
      <c r="AI4" s="8"/>
      <c r="AJ4" s="8"/>
      <c r="AK4" s="8"/>
      <c r="AL4" s="8"/>
      <c r="AM4" s="8"/>
      <c r="AN4" s="8"/>
      <c r="AO4" s="8"/>
      <c r="AP4" s="8"/>
      <c r="AQ4" s="8"/>
      <c r="AR4" s="9"/>
      <c r="AS4" s="9"/>
      <c r="AT4" s="9"/>
      <c r="AU4" s="9"/>
      <c r="AV4" s="9"/>
      <c r="AW4" s="9"/>
    </row>
    <row r="5" spans="1:49" x14ac:dyDescent="0.3">
      <c r="A5" s="8"/>
      <c r="B5" s="8"/>
      <c r="C5" s="8"/>
      <c r="D5" s="8"/>
      <c r="E5" s="8"/>
      <c r="F5" s="8"/>
      <c r="G5" s="20"/>
      <c r="H5" s="20"/>
      <c r="I5" s="20"/>
      <c r="J5" s="20"/>
      <c r="K5" s="20"/>
      <c r="L5" s="20"/>
      <c r="M5" s="20"/>
      <c r="N5" s="20"/>
      <c r="O5" s="20"/>
      <c r="P5" s="8"/>
      <c r="Q5" s="8"/>
      <c r="R5" s="8"/>
      <c r="S5" s="8"/>
      <c r="T5" s="8"/>
      <c r="U5" s="8"/>
      <c r="V5" s="8"/>
      <c r="W5" s="8"/>
      <c r="X5" s="8"/>
      <c r="Y5" s="8"/>
      <c r="Z5" s="8"/>
      <c r="AA5" s="8"/>
      <c r="AB5" s="8"/>
      <c r="AC5" s="8"/>
      <c r="AD5" s="8"/>
      <c r="AE5" s="8"/>
      <c r="AF5" s="8"/>
      <c r="AG5" s="8"/>
      <c r="AH5" s="8"/>
      <c r="AI5" s="8"/>
      <c r="AJ5" s="8"/>
      <c r="AK5" s="8"/>
      <c r="AL5" s="8"/>
      <c r="AM5" s="8"/>
      <c r="AN5" s="8"/>
      <c r="AO5" s="8"/>
      <c r="AP5" s="8"/>
      <c r="AQ5" s="8"/>
      <c r="AR5" s="9"/>
      <c r="AS5" s="9"/>
      <c r="AT5" s="9"/>
      <c r="AU5" s="9"/>
      <c r="AV5" s="9"/>
      <c r="AW5" s="9"/>
    </row>
    <row r="6" spans="1:49" ht="14.4" customHeight="1" x14ac:dyDescent="0.3">
      <c r="A6" s="10"/>
      <c r="B6" s="10"/>
      <c r="C6" s="17" t="s">
        <v>1254</v>
      </c>
      <c r="D6" s="18"/>
      <c r="E6" s="15">
        <f>GETPIVOTDATA("Units_Sold",'Pivot Tables'!$D$3)</f>
        <v>3550</v>
      </c>
      <c r="F6" s="16"/>
      <c r="G6" s="10"/>
      <c r="H6" s="10" t="s">
        <v>1256</v>
      </c>
      <c r="I6" s="17" t="s">
        <v>11</v>
      </c>
      <c r="J6" s="18"/>
      <c r="K6" s="21">
        <f>GETPIVOTDATA("Profit",'Pivot Tables'!$D$7)</f>
        <v>85069.85000000002</v>
      </c>
      <c r="L6" s="22"/>
      <c r="M6" s="10"/>
      <c r="N6" s="10"/>
      <c r="O6" s="17" t="s">
        <v>1255</v>
      </c>
      <c r="P6" s="18"/>
      <c r="Q6" s="15">
        <f>'Pivot Tables'!L21</f>
        <v>5</v>
      </c>
      <c r="R6" s="16"/>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row>
    <row r="7" spans="1:49" ht="14.4" customHeight="1" x14ac:dyDescent="0.3">
      <c r="A7" s="10"/>
      <c r="B7" s="10"/>
      <c r="C7" s="18"/>
      <c r="D7" s="18"/>
      <c r="E7" s="16"/>
      <c r="F7" s="16"/>
      <c r="G7" s="10"/>
      <c r="H7" s="10"/>
      <c r="I7" s="18"/>
      <c r="J7" s="18"/>
      <c r="K7" s="22"/>
      <c r="L7" s="22"/>
      <c r="M7" s="10"/>
      <c r="N7" s="10"/>
      <c r="O7" s="18"/>
      <c r="P7" s="18"/>
      <c r="Q7" s="16"/>
      <c r="R7" s="16"/>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row>
    <row r="9" spans="1:49" x14ac:dyDescent="0.3">
      <c r="A9" s="17" t="s">
        <v>1257</v>
      </c>
      <c r="B9" s="18"/>
    </row>
    <row r="10" spans="1:49" x14ac:dyDescent="0.3">
      <c r="A10" s="18"/>
      <c r="B10" s="18"/>
    </row>
  </sheetData>
  <mergeCells count="8">
    <mergeCell ref="Q6:R7"/>
    <mergeCell ref="A9:B10"/>
    <mergeCell ref="G2:O5"/>
    <mergeCell ref="C6:D7"/>
    <mergeCell ref="E6:F7"/>
    <mergeCell ref="I6:J7"/>
    <mergeCell ref="K6:L7"/>
    <mergeCell ref="O6:P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2026-05-16T15:47:08Z</dcterms:created>
  <dcterms:modified xsi:type="dcterms:W3CDTF">2026-09-04T07:52:27Z</dcterms:modified>
</cp:coreProperties>
</file>